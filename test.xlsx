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Z:\"/>
    </mc:Choice>
  </mc:AlternateContent>
  <xr:revisionPtr revIDLastSave="0" documentId="8_{DEB5FA1B-A948-4218-8BA1-40B503291D9F}" xr6:coauthVersionLast="47" xr6:coauthVersionMax="47" xr10:uidLastSave="{00000000-0000-0000-0000-000000000000}"/>
  <bookViews>
    <workbookView xWindow="-108" yWindow="-108" windowWidth="23256" windowHeight="12456" xr2:uid="{D1C29F7D-C687-4768-8E62-D35AE64F21B0}"/>
  </bookViews>
  <sheets>
    <sheet name="Лист1" sheetId="1" r:id="rId1"/>
  </sheets>
  <externalReferences>
    <externalReference r:id="rId2"/>
  </externalReferences>
  <calcPr calcId="191029" iterateDelta="1E-4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Y18" i="1" l="1"/>
  <c r="AX18" i="1"/>
  <c r="AW18" i="1"/>
  <c r="AV18" i="1"/>
  <c r="A18" i="1"/>
  <c r="AY17" i="1"/>
  <c r="AX17" i="1"/>
  <c r="AW17" i="1"/>
  <c r="AV17" i="1"/>
  <c r="A17" i="1"/>
  <c r="AY16" i="1"/>
  <c r="AX16" i="1"/>
  <c r="AW16" i="1"/>
  <c r="AV16" i="1"/>
  <c r="A16" i="1"/>
  <c r="AY15" i="1"/>
  <c r="AX15" i="1"/>
  <c r="AW15" i="1"/>
  <c r="AV15" i="1"/>
  <c r="A15" i="1"/>
  <c r="AY14" i="1"/>
  <c r="AX14" i="1"/>
  <c r="AW14" i="1"/>
  <c r="AV14" i="1"/>
  <c r="A14" i="1"/>
  <c r="AY13" i="1"/>
  <c r="AX13" i="1"/>
  <c r="AW13" i="1"/>
  <c r="AV13" i="1"/>
  <c r="A13" i="1"/>
  <c r="AY12" i="1"/>
  <c r="AX12" i="1"/>
  <c r="AW12" i="1"/>
  <c r="AV12" i="1"/>
  <c r="A12" i="1"/>
  <c r="AY11" i="1"/>
  <c r="AX11" i="1"/>
  <c r="AW11" i="1"/>
  <c r="AV11" i="1"/>
  <c r="A11" i="1"/>
  <c r="AY10" i="1"/>
  <c r="AX10" i="1"/>
  <c r="AW10" i="1"/>
  <c r="AV10" i="1"/>
  <c r="A10" i="1"/>
  <c r="AY9" i="1"/>
  <c r="AX9" i="1"/>
  <c r="AW9" i="1"/>
  <c r="AV9" i="1"/>
  <c r="A9" i="1"/>
  <c r="AY8" i="1"/>
  <c r="AX8" i="1"/>
  <c r="AW8" i="1"/>
  <c r="AV8" i="1"/>
  <c r="A8" i="1"/>
  <c r="AY7" i="1"/>
  <c r="AX7" i="1"/>
  <c r="AW7" i="1"/>
  <c r="AV7" i="1"/>
  <c r="A7" i="1"/>
  <c r="AY6" i="1"/>
  <c r="AX6" i="1"/>
  <c r="AW6" i="1"/>
  <c r="AV6" i="1"/>
  <c r="A6" i="1"/>
  <c r="AY5" i="1"/>
  <c r="AX5" i="1"/>
  <c r="AW5" i="1"/>
  <c r="AV5" i="1"/>
  <c r="A5" i="1"/>
  <c r="AY4" i="1"/>
  <c r="AX4" i="1"/>
  <c r="AW4" i="1"/>
  <c r="AV4" i="1"/>
  <c r="A4" i="1"/>
  <c r="AY3" i="1"/>
  <c r="AX3" i="1"/>
  <c r="AW3" i="1"/>
  <c r="AV3" i="1"/>
  <c r="A3" i="1"/>
  <c r="AY2" i="1"/>
  <c r="AX2" i="1"/>
  <c r="AW2" i="1"/>
  <c r="AV2" i="1"/>
  <c r="AT2" i="1"/>
  <c r="A2" i="1"/>
</calcChain>
</file>

<file path=xl/sharedStrings.xml><?xml version="1.0" encoding="utf-8"?>
<sst xmlns="http://schemas.openxmlformats.org/spreadsheetml/2006/main" count="635" uniqueCount="358">
  <si>
    <t>№ П/П</t>
  </si>
  <si>
    <t>№ ЗБРОЇ</t>
  </si>
  <si>
    <t>ЗВАННЯ</t>
  </si>
  <si>
    <t>ПРІЗВИЩЕ ТА ІНІЦІАЛИ</t>
  </si>
  <si>
    <t>№ ЧАСТИНИ</t>
  </si>
  <si>
    <t>№ ВЗВОДУ</t>
  </si>
  <si>
    <t>ПОСАДА</t>
  </si>
  <si>
    <t>НАЯВНІСТЬ      (У СТРОЮ)</t>
  </si>
  <si>
    <t>ХВОРІ</t>
  </si>
  <si>
    <t>ГРУПА ПОСИЛЕНОЇ УВАГИ</t>
  </si>
  <si>
    <t>ДАТА СТАТУСУ</t>
  </si>
  <si>
    <t>ДАТА НАРОДЖЕНННЯ</t>
  </si>
  <si>
    <t>МІСЦЕ НАРОДЖЕННЯ</t>
  </si>
  <si>
    <t>КИМ ПРИЗВАНИЙ ТЦК</t>
  </si>
  <si>
    <t>ІПН</t>
  </si>
  <si>
    <t>№ ТЕЛЕФОНУ</t>
  </si>
  <si>
    <t>№ ТЕЛЕФОНУ БЛИЗЬКИХ</t>
  </si>
  <si>
    <t>місце прописки</t>
  </si>
  <si>
    <t>місце проживання</t>
  </si>
  <si>
    <t>№ ТА СЕРІЯ ПАСПОРТУ</t>
  </si>
  <si>
    <t>ОСВІТА</t>
  </si>
  <si>
    <t>НАЯВНІСТЬ ВОДІЙСЬКИХ КАТЕГОРІЙ</t>
  </si>
  <si>
    <t>СІМЕЙНИЙ СТАН</t>
  </si>
  <si>
    <t>МІСЦЕ РОБОТИ</t>
  </si>
  <si>
    <t>ОСОБЛИВІ ПРИКМЕТИ</t>
  </si>
  <si>
    <t>БОРГИ</t>
  </si>
  <si>
    <t>СУДИМОСТІ/ адміністративні</t>
  </si>
  <si>
    <t>ВИСНОВОК ВЛК</t>
  </si>
  <si>
    <t>Попередній досвід військової служби</t>
  </si>
  <si>
    <t>Досвід участі в бойових діях</t>
  </si>
  <si>
    <t>ГРУПА КРОВІ</t>
  </si>
  <si>
    <t>Загальний стан здоров’я</t>
  </si>
  <si>
    <t>Наявні скарги на стан здоров’я</t>
  </si>
  <si>
    <t>Наявність алергічних реакцій</t>
  </si>
  <si>
    <t>Перенесені травми</t>
  </si>
  <si>
    <t>№ військового квитка</t>
  </si>
  <si>
    <t>№ УБД</t>
  </si>
  <si>
    <t>ВОЄННІК</t>
  </si>
  <si>
    <t>КАРТКА</t>
  </si>
  <si>
    <t>АРКУШ</t>
  </si>
  <si>
    <t xml:space="preserve"> продатестат</t>
  </si>
  <si>
    <t>ВЛК</t>
  </si>
  <si>
    <t>РЕЧОВЕ ЗАБЕЗПЕЧЕННЯ</t>
  </si>
  <si>
    <t>Назва лікувального закладу</t>
  </si>
  <si>
    <t>Номер і дата направлення</t>
  </si>
  <si>
    <t>Дата</t>
  </si>
  <si>
    <t>ДАТА Госпіталізації</t>
  </si>
  <si>
    <t>Командир 4 навчальної роти</t>
  </si>
  <si>
    <t xml:space="preserve">Командир 3 навчального </t>
  </si>
  <si>
    <t xml:space="preserve">Дійсним доповідаю по суті рапорту </t>
  </si>
  <si>
    <t xml:space="preserve">виконуючий обов’язки начальника школи </t>
  </si>
  <si>
    <t>солдат</t>
  </si>
  <si>
    <t>АЛАДІН Вадим Андрійович</t>
  </si>
  <si>
    <t>А4741</t>
  </si>
  <si>
    <t>КУРСАНТ</t>
  </si>
  <si>
    <t>ТАК</t>
  </si>
  <si>
    <t>Запорізька обл., Якимівський 
    р-н, с. Атманай</t>
  </si>
  <si>
    <t xml:space="preserve">Івано-Франківським МТЦК та СП, 10.09.2025 </t>
  </si>
  <si>
    <t>0990869693</t>
  </si>
  <si>
    <t>дружина: +380993704223</t>
  </si>
  <si>
    <t>м. Кривий Ріг, вул. О. Солом’янка, буд. 31, кв. 3</t>
  </si>
  <si>
    <t>м. Івано-Франківськ, вул. Іоанна Павла ІІ, буд. 28, кв. 128</t>
  </si>
  <si>
    <t>АО 247595, виданий 31.03.2015, Тернівським РС у м. Кривий Ріг 
   ГУДМС України в Дніпропетровській обл</t>
  </si>
  <si>
    <t>Середня спеціальна, Криворізький професійний гірничо-технологічний ліцей №30, спеціальність «машиніст електровоза, прохідник електрослюсар» закінчив навчання у 2018 році</t>
  </si>
  <si>
    <t>одружений
дружина – Аладіна Анастасія Володимирівна, 10.06.1998 р.н., працює продавцем консультантом в Епіцентрі, м. Івано-Франківськ, вул. Іоанна Павла ІІ, буд. 28, кв. 128.
Донька – Аладіна Варвара Вадимівна, 24.05.2020 р.н.</t>
  </si>
  <si>
    <t>Майстер будівельних робіт по всій Україні, в основному м. Івано-Франківськ</t>
  </si>
  <si>
    <t xml:space="preserve"> Зріст – 187 см, вага – 84 кг, колір очей – голубі, волосся темне.
Татуювання на лівій руці – хрест та на правій нозі - парусник.
На ТОТ, в с. Атманай, Якимівського р-ну Запорізької обл. проживає бабуся</t>
  </si>
  <si>
    <t>Штраф за їзду без прав</t>
  </si>
  <si>
    <t>придатний</t>
  </si>
  <si>
    <t>в/ч А4977 160ОМБ, 2025р.(СЗЧ)</t>
  </si>
  <si>
    <t>не має</t>
  </si>
  <si>
    <t>3+</t>
  </si>
  <si>
    <t>задовільний</t>
  </si>
  <si>
    <t>Після ДТП - Шрам – на правому боці, на правому бедрі в 2010р.</t>
  </si>
  <si>
    <t>Військова частина А4741 Код 26637249 №327 від 03.08.2026</t>
  </si>
  <si>
    <t>відсутне</t>
  </si>
  <si>
    <t>так</t>
  </si>
  <si>
    <t>ні</t>
  </si>
  <si>
    <t>КП «Погребищенська ЦЛ»</t>
  </si>
  <si>
    <t>УЖ 6322</t>
  </si>
  <si>
    <t>молодший сержант</t>
  </si>
  <si>
    <t>БУДНІК Віктор Іванович</t>
  </si>
  <si>
    <t>м. Кривий Ріг</t>
  </si>
  <si>
    <t xml:space="preserve">Синельниківське РТЦК та СП 23.07.2026 </t>
  </si>
  <si>
    <t>+380989162285</t>
  </si>
  <si>
    <t xml:space="preserve"> дружина Буднік Тетяна Михайлівна +380963251231
 син Буднік Сергій Вікторовіч +380986015894</t>
  </si>
  <si>
    <t>Дніпропетровська обл., Кам’янський р-н, с. Милорадівка вул. Залізнична буд. 2</t>
  </si>
  <si>
    <t>Дніпропетровська обл., Кам’янський р-н, смт. Божедарівка вул. Миру буд. 15</t>
  </si>
  <si>
    <t>ID карта №011890148</t>
  </si>
  <si>
    <t>Школа інтернат №1 м. Кривий ріг 1978-1986р
Дніпропетровський Технікум Залізничного транспорту, спеціальність «Організація та управління рухом на залізничному транспорті» в 1994-1998р.</t>
  </si>
  <si>
    <t>А, В, С</t>
  </si>
  <si>
    <t>Одружений
Дружина - Буднік Тетяна Михайлівна, 1970р, продавчиня в сільському магазині, Дніпропетровська обл., Кам’янський р-н, смт. Божедарівка вул. Миру буд. 15
Донька - Біла Катерина Вікторівна, 1990р, за кордоном
син - Буднік Сергій Вікторовіч, 1993р, (військовослужбовець)</t>
  </si>
  <si>
    <t>Укрзалізниця 1992-2016р на посаді черговий по станції</t>
  </si>
  <si>
    <t>Зріст – 182
Вага – 80
Взуття – 43
Татуювання ліва кисть «Н»
Шрам на правій нозі ближче до ступні від укусу пса
Гепатит С(не активний)</t>
  </si>
  <si>
    <t>Заблокована карта за невідомі впровадження в Приват Банку</t>
  </si>
  <si>
    <t>1988 ст.141 ч.2, 2022р. за кражу залізничних підкладок (1 рік умовно), за відсутність прав з собою 2026р.</t>
  </si>
  <si>
    <t>Строкову службу проходив в 1990-1992 в В/Ч 02585 посада військовий будівельник</t>
  </si>
  <si>
    <t>1+</t>
  </si>
  <si>
    <t>Хронічний бронхіт, викривлення хребта</t>
  </si>
  <si>
    <t xml:space="preserve"> Періодичний зубний біль, періодичні болі в спині, був мікроінсульт.</t>
  </si>
  <si>
    <t>Втрата пам’яті Зламані ребра 2017-2018р.</t>
  </si>
  <si>
    <t>довідка №26102020142598000012/1 від 23.07.2026</t>
  </si>
  <si>
    <t>дов</t>
  </si>
  <si>
    <t>МВ 2032</t>
  </si>
  <si>
    <t>ВАЩЕНКО Володимир Володимирович</t>
  </si>
  <si>
    <t>с. Скороходове Чернігівської обл</t>
  </si>
  <si>
    <t>Криворізький РТЦК та СП (Широке)</t>
  </si>
  <si>
    <t>0963683543</t>
  </si>
  <si>
    <t>Брат +380687379134</t>
  </si>
  <si>
    <t xml:space="preserve">м. Кривий Ріг вул. Стасова 1 кв 28 </t>
  </si>
  <si>
    <t>Чернігівська обл. Талалаевський рай. С. Скороходове вул. Половників 16</t>
  </si>
  <si>
    <t>МА809180 29.02.2000р. Роменським МРВ УМВС
України в Сумський обл.</t>
  </si>
  <si>
    <t>Прописати крайнє місце навчання. Якщо у в-ця є одна або декілька вищих освіт, прописати всі наявні
  СПТУ 37 смт. Глинське Ромнинський рай Сумський обл.
Водій-тракторист. 2 розряд</t>
  </si>
  <si>
    <t>A, B,C, D</t>
  </si>
  <si>
    <t>Цивільний шлюб</t>
  </si>
  <si>
    <t>Офіційно  працював.
Охоронниць.</t>
  </si>
  <si>
    <t>Зріст – 152см
Вага – 52кг
Взуття – 39
Татуювання – ліве плече «Контур дівчини», біля серця «група крові»
Шрам на лівій кисті біля великого пальця</t>
  </si>
  <si>
    <t>1992-1994рр., м. Полтава, зв’язківець, молодший сержант</t>
  </si>
  <si>
    <t>довідка №020520251358752000057/1 від 25.07.2026</t>
  </si>
  <si>
    <t>ЕЛ 5995</t>
  </si>
  <si>
    <t>ВОСТРОКНУТОВ Віталій Віталійович</t>
  </si>
  <si>
    <t>М.Дніпропетровськ</t>
  </si>
  <si>
    <t>3 відділ Синельниківського РТЦК та СП (Покровське) 29.07.2026</t>
  </si>
  <si>
    <t>067-832-35-09</t>
  </si>
  <si>
    <t>Дружина 0666100319</t>
  </si>
  <si>
    <t>Синельниківський р-н с.Варварівка, вул.Польова, 11</t>
  </si>
  <si>
    <t>С.Панасвка, вул.Лісна, 7, Дніпропетр.обл. Синельниківський р-н</t>
  </si>
  <si>
    <t>Відсутній загубив</t>
  </si>
  <si>
    <t>Технікум Дніпропетровсько промисловий економічний технікум, 1987, технік електромеханік, токар ремонтник</t>
  </si>
  <si>
    <t xml:space="preserve"> </t>
  </si>
  <si>
    <t>Розлучений
Цивільний брак
Дружина Павленко Ольга Петрівна, 23.01.1974, домогосподарка проживають
 Разом С.Панасвка, вул.Лісна, 7, Дніпропетр.обл. Синельниківський р-н
Діти від 1 шлюбу
Син Вострокнутов Володимир, Віталійович, 19.12.2003, за кордоном</t>
  </si>
  <si>
    <t xml:space="preserve">Завод ЮМЗ, технік електро иеханік, токар 1989-1998
Містводоканал Днепр західний донбан, 2роки, зв’язківець
Щебеночний кар’єр, 2 роки, токарь
Бумажная фабрика Днепропетровськ, 3 роки, токар ремонтник
БАД Деталь сервіс,2 роки токар
</t>
  </si>
  <si>
    <t>175см, 65кг, сивий</t>
  </si>
  <si>
    <t>відсутні</t>
  </si>
  <si>
    <t>Казахстан, Байконур, 1987-1989рр. комендатура, сержант, рота охорони</t>
  </si>
  <si>
    <t>довідка №18052025142581250001/1 від 29.07.2026</t>
  </si>
  <si>
    <t>АХ 8677</t>
  </si>
  <si>
    <t>ДЕМЧЕНКО Віталій Володимирович</t>
  </si>
  <si>
    <t>А4748</t>
  </si>
  <si>
    <t>с.Бургунка</t>
  </si>
  <si>
    <t>Бериславський РТЦК та СП 04.10.2025</t>
  </si>
  <si>
    <t xml:space="preserve"> 0681312871</t>
  </si>
  <si>
    <t>Надія - 0958061812</t>
  </si>
  <si>
    <t>Херсонська обл., Бориславський р-н, с. Бургунка, вул. Нова, 15</t>
  </si>
  <si>
    <t>МР 419454 19.12.2013р. Бериславським РВ УМВСУ в Херсонській обл.</t>
  </si>
  <si>
    <t>1993р. Тракторист</t>
  </si>
  <si>
    <t>цивільний шлюб – 
дружина – Головченко Лариса Василівна
син – Головченко Сергій Віталійович</t>
  </si>
  <si>
    <t>1993, 1994, 1997 тракторист
з 1998 - різноробочим</t>
  </si>
  <si>
    <t>зріст – 180
вага – 54
татуювання меч на правій руці, татуювання на лівій руці</t>
  </si>
  <si>
    <t>2013-2014рр. ст.221 ч.1, ст221 ч.2(рік умовного терміну)</t>
  </si>
  <si>
    <t>строкова служба - 1997-1998
командир БМП1
2025р
курсант ВЧ А1890</t>
  </si>
  <si>
    <t>1997-1998, Югославія, Миротворець</t>
  </si>
  <si>
    <t>2+</t>
  </si>
  <si>
    <t>Не задовільний</t>
  </si>
  <si>
    <t>гіпертонія, температура, затискає спинний нерв Хронічний бронхіт, викривлення хребта</t>
  </si>
  <si>
    <t>контузії, струс мозку</t>
  </si>
  <si>
    <t>АГ 411952 Бориславським РТЦК та СП військовим комісаріатом Херсонскої області 03.10.2025</t>
  </si>
  <si>
    <t>ТІ 0607</t>
  </si>
  <si>
    <t>ЖЕРНОВСЬКИЙ Сергій Іванович</t>
  </si>
  <si>
    <t>Кіровоградська обл., Компанійський р-н, с. Германівка</t>
  </si>
  <si>
    <t>Компанійське РТЦК та СП , 26.07.2026р</t>
  </si>
  <si>
    <t>0965175671</t>
  </si>
  <si>
    <t>0974277453 Жерновська Марія Василівна
0969396297 Сестра  Івкеєва Антоніна Іванівна</t>
  </si>
  <si>
    <t>Кіровоградська обл., Компанійський р-н, с. Германівка вул. Центральна буд. 10</t>
  </si>
  <si>
    <t>ЕА 762206
Компаніївським РОУМВД</t>
  </si>
  <si>
    <t xml:space="preserve">Школа с. Германівка закінчив 7 класів </t>
  </si>
  <si>
    <t>Холостий.
Мати Жерновська Марія Василівна, 1946р, пенсіонер</t>
  </si>
  <si>
    <t>Тракторист фересин Агролон 2000-2026р</t>
  </si>
  <si>
    <t>Зріст 167см  
Вага 60кг
Шрам від ножового поранення ліва легеня</t>
  </si>
  <si>
    <t>Висновок ВЛК 
ВЛК Кіровоградське РТЦК 27.07.2026р 
Біль в шлунку ( була язва), жировики на руках</t>
  </si>
  <si>
    <t>не служив</t>
  </si>
  <si>
    <t>Біль в шлунку ( була язва), жировики на руках, біль у спині</t>
  </si>
  <si>
    <t>Втрачає свідомість від теплових вигрівань.</t>
  </si>
  <si>
    <t>Шрам від ножового поранення ліва легеня</t>
  </si>
  <si>
    <t>довідка №2804202006769700003/1 від 27.07.2026</t>
  </si>
  <si>
    <t>УЖ 4319</t>
  </si>
  <si>
    <t>сержант</t>
  </si>
  <si>
    <t>ЖУК Геннадій Дмитрович</t>
  </si>
  <si>
    <t>смт Новгородка, вул. Миру 222 Кіровоградська область,</t>
  </si>
  <si>
    <t>Кропивницьким РТЦК та СП</t>
  </si>
  <si>
    <t>066-897-69-96</t>
  </si>
  <si>
    <t>Мама: 098-435-05-70
Син: 097-373-77-61
Невістка: 097-647-12-23</t>
  </si>
  <si>
    <t>М. Кропивницький, вул. Державності, буд. 23, корп. 3, кв. 33</t>
  </si>
  <si>
    <t>: ЕА 495168, Новгородівським РВУМВС, 28.10.1998р.</t>
  </si>
  <si>
    <t>ЗОШ №2, Новгородівська, 1984р, 10 класів,
Кіровоградський педагогічний університет ім. Пушкіна, 1992р. вчитель фізкультури</t>
  </si>
  <si>
    <t>Мама: ЖУК Валентина Мефодііївна, 1948р. 
С. Новогородка, вул. Миру 222
Син: Жук Віталій Геннадійович, 1994р. 
Кропивницький вул. Яновського, 159, кв. 6</t>
  </si>
  <si>
    <t>Різноробочий</t>
  </si>
  <si>
    <t>Зріст – 176см
Вага – 80кг
Взуття - 44
Шрами на правій руці, декілька штук, один в виді хреста
Епілептичні припадки більше пів року назад</t>
  </si>
  <si>
    <t>А13821, 1987-1989рр. Сержант, начальник радіостанції КШМ</t>
  </si>
  <si>
    <t>Плоскостопіє, епілептичні припадки в минулому, спина</t>
  </si>
  <si>
    <t>Епілептичні припадки більше пів року назад</t>
  </si>
  <si>
    <t>НУ №9585813 виданий Кіровоградським міським військовим комісаріатом Кіровоградської області 04.06.1987</t>
  </si>
  <si>
    <t>ЗАЙЦЕВ Руслан Станіславович</t>
  </si>
  <si>
    <t>М.Кропивницький</t>
  </si>
  <si>
    <t>Кропивницьким районним РТЦК та СП 25.07.2026</t>
  </si>
  <si>
    <t>0988044489</t>
  </si>
  <si>
    <t>Дружина 0953906277
Син 0950295185</t>
  </si>
  <si>
    <t>М.Кропивницький, вул. Віктора Чміленка,97. Кв.14</t>
  </si>
  <si>
    <t>№ 003962564</t>
  </si>
  <si>
    <t>Вища Кіровоградський інститут сільськогосподарського машинобудування, 1995, інженер механік сільхозмашин</t>
  </si>
  <si>
    <t xml:space="preserve">Одружений
Дружина Зайцева Анна Вікторівна, 1982 М.Кропивницький, вул. Віктора Чміленка,97. Кв.14
Діти
Син Зайцев Дмитро Русланович, 2006 М.Кропивницький, вул. Віктора Чміленка,97. Кв.14
Дочка Зайцева Світлана Русланівна, 1991 
</t>
  </si>
  <si>
    <t>Такси 18 років, агроном 5 років
Директор підприємства 3</t>
  </si>
  <si>
    <t xml:space="preserve">174см, 105 кг, русий з сивиною, </t>
  </si>
  <si>
    <t>відсутній</t>
  </si>
  <si>
    <t>відсутніій</t>
  </si>
  <si>
    <t>4+</t>
  </si>
  <si>
    <t>2 степень гіпертонік, підозра на 3
Астигмаизм
Мініски, зв’язки, 
Шлунок
Печінка
Шея спина</t>
  </si>
  <si>
    <t>Гіпертонія 2 ступеню</t>
  </si>
  <si>
    <t>військова частина А4741 Код 26637249 №338 від 04.08.2026</t>
  </si>
  <si>
    <t>ЗП 3127</t>
  </si>
  <si>
    <t>ЗАКРИТНИЙ Сергій Вікторович</t>
  </si>
  <si>
    <t>с. Маловодяне, Кіровоградська обл.</t>
  </si>
  <si>
    <t>ДолинськимРТЦК та СП</t>
  </si>
  <si>
    <t>067-991-78-05</t>
  </si>
  <si>
    <t>мати, Закритна Світлана Миколаївна, 1968, т. 066-459-07-80</t>
  </si>
  <si>
    <t>Кіровоградська обл., Долинський район, с. Маловодяне, вул. О. Долинської, 43</t>
  </si>
  <si>
    <t>006096984, 3519, 18.05.2021</t>
  </si>
  <si>
    <t>ПТУ №59, 2020, м. Кривий Ріг, електро-газазварювальник</t>
  </si>
  <si>
    <t>мати, Закритна Світлана Миколаївна, 1968
сестра, Закритна Ольга Олександрівна, 1992</t>
  </si>
  <si>
    <t>різноробочий</t>
  </si>
  <si>
    <t>Зріст – 177см
Вага – 67кг
Взуття – 43
Шрам – права рука вказівний палець, ліва нога мізинець(зашивали), ліва нога на голені(вкусила собака)</t>
  </si>
  <si>
    <t>Мікрозайми – 4000грн(5 років назад)
Кредіт+ - 500грн.(5 років назад)</t>
  </si>
  <si>
    <t>ст. 185, ч. 3
адмін. – дрібне хуліганство
банківське шахрайство</t>
  </si>
  <si>
    <t>Болі в серці, болі в спині</t>
  </si>
  <si>
    <t>довідка №171020247624741300048/1 від 25.07.2026</t>
  </si>
  <si>
    <t>ЛИ 1535</t>
  </si>
  <si>
    <t>ІВАНОВ Павло Васильович</t>
  </si>
  <si>
    <t>с. Кетрисанівка, Бобринецьки р-н, Кіровоградська обл.</t>
  </si>
  <si>
    <t>Кропівницьким РТЦК та СП</t>
  </si>
  <si>
    <t>Кіровоградська обл., Бобринецький район, с. Кетрисанівка, вул. Шкільна, 63</t>
  </si>
  <si>
    <t>ЕВ286082, Бобринецьким РВ УМВС України в Кіровоградській обл.</t>
  </si>
  <si>
    <t>неповна середня, 1990, с. Кетрисанівка</t>
  </si>
  <si>
    <t>Син – Іванов Владислав Павлович, 2001р.н., с. Кетрисанівка
брат - Іванов Сергій Васильович, 1973, м. Кропивницький</t>
  </si>
  <si>
    <t>Зріст – 175см
Вага – 70кг
Взуття – 43
Татуювання – праве передпліччя (дівчина, кинджал, павутина), ліве передпліччя (павутина та павук), праве плече (містика) ліве плече (чоловік чоловіку вовк)
Спина (церква)
Гепатит С (активний)</t>
  </si>
  <si>
    <t>ст. 309, двічі: 2005-2009, 2011-2014</t>
  </si>
  <si>
    <t>придатнийй</t>
  </si>
  <si>
    <t>гепатит С, хронічний бронхіт, гастрит, інколи поболюють нирки та серце</t>
  </si>
  <si>
    <t>гепатіт С</t>
  </si>
  <si>
    <t>довідка №091120237624486900005/1 від 24.07.2026</t>
  </si>
  <si>
    <t>АР 4257</t>
  </si>
  <si>
    <t>КАЛЮТА Микола Сергійович</t>
  </si>
  <si>
    <t>м. Кіровоград, Кіровоградська обл.</t>
  </si>
  <si>
    <t>Кропивницьким РТЦК та СП Кіровоградської області</t>
  </si>
  <si>
    <t>0663901624</t>
  </si>
  <si>
    <t xml:space="preserve"> Батько – 0969915131
Мати – 09699151100
Дружина – 0972795255
Сестра - 0666052717</t>
  </si>
  <si>
    <t>Кіровоградська обл. Кропивницький р-н, с. Сонячне , вул. Сонячна ,б. 31, кв.  6</t>
  </si>
  <si>
    <t xml:space="preserve"> ЕВ№419054 Кіровоградським РС УДМС України Кіровоградській обл. від 25.10.2016</t>
  </si>
  <si>
    <t>Середня-спеціальна , будівельник., м. Кропивницький ПТУ№8 2008р.</t>
  </si>
  <si>
    <t>Мати – Калюта Лариса Миколаївна, вул. Сонячна б31, кв6, с. Сонячне Кропивницька обл.
Батько – Калюта Сергій Павлович, вул. Сонячна б31, кв6, с. Сонячне Кропивницька обл.
Сестра – Велика Валентина Сергіївна
Цивільний шлюб
Дружина – Шегарюк Ілона Валер’янівна, 1991р.н. вул. Василя Марка б.56, м. Кропивницький
Донька – Шегарюк Софія Миколаївна, 2013р.н.
Донька – Шегарюк Єва Миколаївна, 2019 р.н.</t>
  </si>
  <si>
    <t>Зріст – 179см
Вага – 72кг
Татуювання – на руках і по тілу
Чи відноситься військовослужбовець до категорії ГППУ - так</t>
  </si>
  <si>
    <t xml:space="preserve"> Приват Банк – зі слів більше 100000грн(прострочка більше 20 років)</t>
  </si>
  <si>
    <t>Ст.185 ч.3, ст.187 ч.4, ст.70 ч.1</t>
  </si>
  <si>
    <t>Перелом лівої руки в 2026р.</t>
  </si>
  <si>
    <t>довідка №260220240676102400034/1 від 28.07.2026 Кропивницьким РТЦК та СП Кіровоградської області</t>
  </si>
  <si>
    <t>ОХ 9535</t>
  </si>
  <si>
    <t>КОВАЛЬЧУК Олександр Володимирович</t>
  </si>
  <si>
    <t>Кіровоградська обл., с. Ємилівка</t>
  </si>
  <si>
    <t>Улянівським РТЦК та СП</t>
  </si>
  <si>
    <t>097-005-17-29</t>
  </si>
  <si>
    <t xml:space="preserve">мати - Ковальчук Галина Вікторівна, 1956,
т. 098-679-01-02
сестра - Островська Наталія Володимирівна, 1976
т. 098-446-44-96
сетра - Грінько Тетяна Володимирівна, 1984
т. 068-349-72-06   </t>
  </si>
  <si>
    <t>Кіровоградська обл., Голованівський район, с.Ємилівка, вул. Садова, 32</t>
  </si>
  <si>
    <t>ЕА083253, Голованівським РВ УМВС України в Кіровоградській обл.</t>
  </si>
  <si>
    <t>середня, 1995, с. Ємилівка
курси тракториста</t>
  </si>
  <si>
    <t>ВХК №448134</t>
  </si>
  <si>
    <t>Цивільний шлюб
Дружина – Філюта Ольга Русланівна, 1976р.н., Кіровоградська обл., Голованівський район, с. Ємилівка, вул. Садова, 32
мати - Ковальчук Галина Вікторівна, 1956,
сестра - Островська Наталія Володимирівна, 1976, с. Троянка
сестра - Грінько Тетяна Володимирівна, 1984, с. Троянка</t>
  </si>
  <si>
    <t>трактористом</t>
  </si>
  <si>
    <t>Зріст – 190см
Вага – 95кг
Взуття - 46
Шрам на лівій руці на кісточках</t>
  </si>
  <si>
    <t>А0630, старший навідник, 20.11.1996-25.06.1997
А0630, командир гармати, 25.06.1997-квіт.1998
А4741, стрілець-номер обслуги, 26.07.2026-</t>
  </si>
  <si>
    <t>проблеми з хребтом</t>
  </si>
  <si>
    <t>Перелом лівої руки 2024р, перлом лівої ноги(п’яти) 2018р.</t>
  </si>
  <si>
    <t>УН №0490911 виданий Голованівським районним військовим комісаріатом Кіровоградської області 14.11.1996</t>
  </si>
  <si>
    <t>ПЛ 1404</t>
  </si>
  <si>
    <t>КОРОТЕНКО Артем Олександрович</t>
  </si>
  <si>
    <t>м.Кремінна Кремінський р-н Луганської області</t>
  </si>
  <si>
    <t>Соборний - РТЦКта СП 23.07.2026</t>
  </si>
  <si>
    <t>0509942088</t>
  </si>
  <si>
    <t>мами +37065309634</t>
  </si>
  <si>
    <t>1: м.Кремінна Сіверодонецький р-н Луганської області вул. Зіркова буд. 30</t>
  </si>
  <si>
    <t>1:м. Харків вул. Маршала Бажанова б. 10, кв. 1.</t>
  </si>
  <si>
    <t>366420441 виданий 4447</t>
  </si>
  <si>
    <t>Кремінський професійний ліцей №91 2018 рік, муляр-електрозварник ручного зварювання.</t>
  </si>
  <si>
    <t>мама Коротенко Олеся Вікторовна м.Каунас Литва</t>
  </si>
  <si>
    <t>Кальяний майстер
Волонтер</t>
  </si>
  <si>
    <t>Зріст – 190см
Вага – 113кг
Татуювання на плечі та руці демон, на нозі демон
Шрам – підборіддя</t>
  </si>
  <si>
    <t>Монобанк 30000грн</t>
  </si>
  <si>
    <t>2020-2021рр. в/ч А3435</t>
  </si>
  <si>
    <t>2-</t>
  </si>
  <si>
    <t>Важко бігати – різкі болі в спині</t>
  </si>
  <si>
    <t>Права рука перелом кисті 2010р.</t>
  </si>
  <si>
    <t xml:space="preserve"> віськова частина А4741 код 26637249 №260 від 23.07.2026</t>
  </si>
  <si>
    <t>ЧИ 8348</t>
  </si>
  <si>
    <t>ЛЕВИЦЬКИЙ Роман Сергійович</t>
  </si>
  <si>
    <t xml:space="preserve">м. Олександрія   </t>
  </si>
  <si>
    <t>Кіровоградським ТЦК</t>
  </si>
  <si>
    <t xml:space="preserve"> 0981703741</t>
  </si>
  <si>
    <t>Брат-0689139465</t>
  </si>
  <si>
    <t>Кіровоградська обл., м. Олександрія, вул. Свято миколаївська, 37а, кв.30</t>
  </si>
  <si>
    <t>СПТУ №13 1998р. електро-слюсар підземний</t>
  </si>
  <si>
    <t>C</t>
  </si>
  <si>
    <t>не одружений</t>
  </si>
  <si>
    <t>будівельник</t>
  </si>
  <si>
    <t>зріст – 185
вага – 65
шрам на голові
облік в наркології – метадон, амфетаміни, канабіс
гепатит С</t>
  </si>
  <si>
    <t>кредити Мікрозайми – 8000 грн.</t>
  </si>
  <si>
    <t>Умовна, погашена ст.309 ч.1
Штраф за порушення комендантської години</t>
  </si>
  <si>
    <t>А1744 1998-1999рр водій</t>
  </si>
  <si>
    <t>не иає</t>
  </si>
  <si>
    <t>3-</t>
  </si>
  <si>
    <t xml:space="preserve">не задовільний </t>
  </si>
  <si>
    <t>ліпома, варикоз, гепатит С, сидалічний нерв</t>
  </si>
  <si>
    <t xml:space="preserve">перелом луч кисті 2003р, струс мозку 2022-2023рр. </t>
  </si>
  <si>
    <t>АВ № 881828 виданий Кропивницьким МТЦК та СП Кіровоградської області 31.01.2026</t>
  </si>
  <si>
    <t>УЖ 7922</t>
  </si>
  <si>
    <t>МАКАРЕНКО Юрій Вікторович</t>
  </si>
  <si>
    <t>Кіровоградська обл., Новоукраїнський р-н, с. Димине</t>
  </si>
  <si>
    <t>Кропивницьким  РТЦК та СП</t>
  </si>
  <si>
    <t>0663520362</t>
  </si>
  <si>
    <t xml:space="preserve">Дружина – Пасічняк Оксана Олександрівна ,0663453716
Сестра- Макаренко Лариса Вікторівна , 0505078816
Сестра- Мосендзь Тетяна Вікторівна , 0664554849 
</t>
  </si>
  <si>
    <t>Кіровоградська обл. Голованівський р-н, с.Липовеньке , вул. Вишнева  б. 2</t>
  </si>
  <si>
    <t>Кіровоградська обл. Кропивницький р-н, с.Петрове, вул. Шевченко  б. 23</t>
  </si>
  <si>
    <t>010622723 від 17.05.2024, орган ,що видав 3520</t>
  </si>
  <si>
    <t>Базова ,9класів ,водій</t>
  </si>
  <si>
    <t>В,В1,С,С1,СЕ</t>
  </si>
  <si>
    <t>В цивільному шлубі 
Дружина – Пасічняк Оксана Олександрівна ,0663453716
Сестра- Макаренко Лариса Вікторівна , 0505078816
Сестра- Мосендзь Тетяна Вікторівна , 0664554849 
Брат -Іванов Микола Вікторович
Брат- Іванов Олег Вікторович</t>
  </si>
  <si>
    <t>Підстава на звільнення – не має.
Татуювання –. не має.
Шрами на тілі –не має
Особливості поведінки військовослужбовця 8/10.
Чи відноситься військовослужбовець до категорії ГППУ - ні
Чи має родичів на ТОТ та рф,- не має.</t>
  </si>
  <si>
    <t>Ст. 130, мілкі штрафи за стан автомобіля.</t>
  </si>
  <si>
    <t>Перелом правої кисті 2008р.</t>
  </si>
  <si>
    <t>довідка №120120240676832900037/1</t>
  </si>
  <si>
    <t>ЛХ 9384</t>
  </si>
  <si>
    <t>МИТУСЬ Олег Дмитрович</t>
  </si>
  <si>
    <t>с, Юрківка, Синельниківський р-н, Дніпропетровська область</t>
  </si>
  <si>
    <t>2 відділ Синельниківського РТЦК та СП (Петропавлівка) Дніпропетровської області 24.07.2026</t>
  </si>
  <si>
    <t>096-833-40-91</t>
  </si>
  <si>
    <t>Дніпропетровська область Синельниківський район село Слав’янка вулиця Центральна 6</t>
  </si>
  <si>
    <t>АН 744851</t>
  </si>
  <si>
    <t>Середня  - Первомайський інтернат 1988</t>
  </si>
  <si>
    <t xml:space="preserve"> Рідних та близьких не має</t>
  </si>
  <si>
    <t>Різноробочий на фермі офіційно</t>
  </si>
  <si>
    <t>Зріст – 160см
Вага – 72кг
Взуття – 42
Шрам – ліва нога у паху, праве зап’ястя 
Обморожені стопи</t>
  </si>
  <si>
    <t>Три рази (загально 10 років позбавлення волі) за крадіжку, в малому розмірі. 2020 звільнився</t>
  </si>
  <si>
    <t>довідка №180720232506830100009/1</t>
  </si>
  <si>
    <t>ГМ 1691</t>
  </si>
  <si>
    <t>МУРЗИЧ Сергій Петрович</t>
  </si>
  <si>
    <t>с. Грушівка, Дніпропетровська</t>
  </si>
  <si>
    <t xml:space="preserve"> 1 відділ Криворізького РТЦК та СП (Апостолове)</t>
  </si>
  <si>
    <t>0935660551</t>
  </si>
  <si>
    <t>Мати 0963905511</t>
  </si>
  <si>
    <t>Дніпропетровська обл. Апостолівський р-н с. Грушівка, вул. Олега Литвина, 45</t>
  </si>
  <si>
    <t>АК687058, 29.09.1999, Апостолівським РВУМВС країни В Дніпропетровській обл.</t>
  </si>
  <si>
    <t>Спту 85, м. Апостолове, тракторист машиніст широкого профілю, слюсар, водій</t>
  </si>
  <si>
    <t>A,B,C,D,E</t>
  </si>
  <si>
    <t>Розлучений, 
Діти
Син Мурзич Максим Сергійович, 16.09.2000, за кордоном
Мати Мурзич Любов Миколаївна, 22.02.1950. Грушівка</t>
  </si>
  <si>
    <t>Водій на фірмі комбікормовій, різноробочий</t>
  </si>
  <si>
    <t xml:space="preserve">172см, 72 кг, русе сиве, тату одна ліве передпліччя, </t>
  </si>
  <si>
    <t>За неправильний перехід дороги(адмін.. штраф)
За перевищення швидкості (адмін.. штраф)</t>
  </si>
  <si>
    <t>м. Київ, 1989-90рр. військовий будівельник</t>
  </si>
  <si>
    <t>шлунок</t>
  </si>
  <si>
    <t>Операція на шлунку 1990р.</t>
  </si>
  <si>
    <t>НУ №9405500 Апостолвським районним військовим комісаріатом Дніпропетровської області від 25.05.1989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</si>
</sst>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  <font>
      <b/>
      <sz val="10"/>
      <color theme="1"/>
      <name val="Times New Roman"/>
      <family val="1"/>
      <charset val="204"/>
    </font>
    <font>
      <b/>
      <sz val="14"/>
      <color theme="1"/>
      <name val="Calibri"/>
      <family val="2"/>
      <charset val="204"/>
      <scheme val="minor"/>
    </font>
    <font>
      <sz val="10"/>
      <color theme="1"/>
      <name val="Times New Roman"/>
      <family val="1"/>
      <charset val="204"/>
    </font>
  </fonts>
  <fills count="5">
    <fill>
      <patternFill patternType="none"/>
    </fill>
    <fill>
      <patternFill patternType="gray125"/>
    </fill>
    <fill>
      <patternFill patternType="solid">
        <fgColor theme="4" tint="0.39997558519241921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rgb="FF00B050"/>
        <bgColor indexed="64"/>
      </patternFill>
    </fill>
  </fills>
  <borders count="7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6">
    <xf numFmtId="0" fontId="0" fillId="0" borderId="0" xfId="0"/>
    <xf numFmtId="0" fontId="2" fillId="2" borderId="1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horizontal="center" vertical="center" wrapText="1"/>
    </xf>
    <xf numFmtId="49" fontId="2" fillId="2" borderId="2" xfId="0" applyNumberFormat="1" applyFont="1" applyFill="1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0" fillId="2" borderId="2" xfId="0" applyFill="1" applyBorder="1" applyAlignment="1">
      <alignment horizontal="center" vertical="center" wrapText="1"/>
    </xf>
    <xf numFmtId="0" fontId="0" fillId="2" borderId="3" xfId="0" applyFill="1" applyBorder="1" applyAlignment="1">
      <alignment horizontal="center" vertical="center" wrapText="1"/>
    </xf>
    <xf numFmtId="0" fontId="1" fillId="2" borderId="3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49" fontId="1" fillId="2" borderId="2" xfId="0" applyNumberFormat="1" applyFont="1" applyFill="1" applyBorder="1" applyAlignment="1">
      <alignment horizontal="center" vertical="center" wrapText="1"/>
    </xf>
    <xf numFmtId="0" fontId="1" fillId="2" borderId="4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textRotation="90"/>
    </xf>
    <xf numFmtId="0" fontId="3" fillId="2" borderId="2" xfId="0" applyFont="1" applyFill="1" applyBorder="1" applyAlignment="1">
      <alignment horizontal="center" vertical="center" textRotation="90" wrapText="1"/>
    </xf>
    <xf numFmtId="0" fontId="1" fillId="2" borderId="2" xfId="0" applyFont="1" applyFill="1" applyBorder="1" applyAlignment="1">
      <alignment horizontal="center" vertical="center" textRotation="90" wrapText="1"/>
    </xf>
    <xf numFmtId="14" fontId="1" fillId="2" borderId="4" xfId="0" applyNumberFormat="1" applyFont="1" applyFill="1" applyBorder="1" applyAlignment="1">
      <alignment horizontal="center" vertical="center" textRotation="90"/>
    </xf>
    <xf numFmtId="0" fontId="1" fillId="2" borderId="5" xfId="0" applyFont="1" applyFill="1" applyBorder="1" applyAlignment="1">
      <alignment horizontal="center" vertical="center" textRotation="90"/>
    </xf>
    <xf numFmtId="0" fontId="0" fillId="2" borderId="5" xfId="0" applyFill="1" applyBorder="1" applyAlignment="1">
      <alignment horizontal="center" vertical="center" textRotation="90" wrapText="1"/>
    </xf>
    <xf numFmtId="0" fontId="0" fillId="2" borderId="5" xfId="0" applyFill="1" applyBorder="1" applyAlignment="1">
      <alignment horizontal="center" vertical="center" wrapText="1"/>
    </xf>
    <xf numFmtId="0" fontId="0" fillId="2" borderId="5" xfId="0" applyFill="1" applyBorder="1" applyAlignment="1">
      <alignment horizontal="center" vertical="center"/>
    </xf>
    <xf numFmtId="0" fontId="0" fillId="2" borderId="0" xfId="0" applyFill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14" fontId="4" fillId="0" borderId="2" xfId="0" applyNumberFormat="1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 wrapText="1"/>
    </xf>
    <xf numFmtId="49" fontId="4" fillId="0" borderId="2" xfId="0" applyNumberFormat="1" applyFont="1" applyBorder="1" applyAlignment="1">
      <alignment horizontal="center" vertical="center"/>
    </xf>
    <xf numFmtId="0" fontId="4" fillId="0" borderId="4" xfId="0" applyFont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2" xfId="0" applyBorder="1" applyAlignment="1">
      <alignment horizontal="center" vertical="center" wrapText="1"/>
    </xf>
    <xf numFmtId="14" fontId="0" fillId="0" borderId="0" xfId="0" applyNumberFormat="1" applyAlignment="1">
      <alignment horizontal="center" vertical="center"/>
    </xf>
    <xf numFmtId="0" fontId="0" fillId="0" borderId="0" xfId="0" applyAlignment="1">
      <alignment horizontal="center" vertical="top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0" fillId="3" borderId="2" xfId="0" applyFill="1" applyBorder="1" applyAlignment="1">
      <alignment horizontal="center" vertical="center"/>
    </xf>
    <xf numFmtId="0" fontId="0" fillId="4" borderId="2" xfId="0" applyFill="1" applyBorder="1" applyAlignment="1">
      <alignment horizontal="center" vertical="center"/>
    </xf>
  </cellXfs>
  <cellStyles count="1">
    <cellStyle name="Обычный" xfId="0" builtinId="0"/>
  </cellStyles>
  <dxfs count="53">
    <dxf>
      <font>
        <color theme="1"/>
      </font>
      <fill>
        <patternFill>
          <bgColor rgb="FFFF0000"/>
        </patternFill>
      </fill>
    </dxf>
    <dxf>
      <fill>
        <patternFill>
          <bgColor rgb="FF00B050"/>
        </patternFill>
      </fill>
    </dxf>
    <dxf>
      <font>
        <b val="0"/>
        <i val="0"/>
        <color theme="1"/>
      </font>
      <fill>
        <patternFill>
          <bgColor rgb="FF00B050"/>
        </patternFill>
      </fill>
    </dxf>
    <dxf>
      <font>
        <color theme="1"/>
      </font>
      <fill>
        <patternFill>
          <bgColor rgb="FFFFFF00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934BC9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F6C1A0"/>
        </patternFill>
      </fill>
    </dxf>
    <dxf>
      <fill>
        <patternFill>
          <bgColor rgb="FF934BC9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F6C1A0"/>
        </patternFill>
      </fill>
    </dxf>
    <dxf>
      <fill>
        <patternFill>
          <bgColor rgb="FF934BC9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F6C1A0"/>
        </patternFill>
      </fill>
    </dxf>
    <dxf>
      <fill>
        <patternFill>
          <bgColor rgb="FF934BC9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F6C1A0"/>
        </patternFill>
      </fill>
    </dxf>
    <dxf>
      <fill>
        <patternFill>
          <bgColor rgb="FF934BC9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F6C1A0"/>
        </patternFill>
      </fill>
    </dxf>
    <dxf>
      <fill>
        <patternFill>
          <bgColor rgb="FF934BC9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F6C1A0"/>
        </patternFill>
      </fill>
    </dxf>
    <dxf>
      <fill>
        <patternFill>
          <bgColor rgb="FF934BC9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F6C1A0"/>
        </patternFill>
      </fill>
    </dxf>
    <dxf>
      <fill>
        <patternFill>
          <bgColor rgb="FF934BC9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F6C1A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&#1055;&#1072;&#1096;&#1072;/&#1050;&#1059;&#1056;&#1057;&#1048;/14.08.2026/&#1082;&#1091;&#1088;&#1089;%20%2014.08.2026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КУРС 06.08.2026"/>
      <sheetName val="ХВОРІ та ШПИТАЛЬ"/>
      <sheetName val="ВЕЧЕРУХА"/>
      <sheetName val="БЧС"/>
      <sheetName val="СПИСОК ПО ЧАСТИНІ"/>
      <sheetName val="Дні Народження"/>
      <sheetName val="ФОРМИ 5  ПОСИЛКИ"/>
      <sheetName val="КАРТКА"/>
      <sheetName val="АРКУШ"/>
      <sheetName val="СТАРІ ДОКУМЕНТИ"/>
      <sheetName val="ДАНІ ПРЕДСТАВНИКІВ"/>
      <sheetName val="ВИБУЛИ"/>
      <sheetName val="Аркуш1"/>
      <sheetName val="Рапорт лікарня з лікарні"/>
      <sheetName val="Лист1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>
        <row r="2">
          <cell r="D2" t="str">
            <v>Дійсним доповідаю по суті рапорту старшого лейтенанта ПАШІНА С.В.</v>
          </cell>
          <cell r="E2" t="str">
            <v>Командир 4 навчальної роти-старший викладач 3 навчального батальйону 
школи індивідуальної підготовки військової частини А1890
старший лейтенант						Сергій ПАШІН</v>
          </cell>
          <cell r="F2" t="str">
            <v>Командир 3 навчального батальйону школи індивідуальної підготовки 
військової частини А1890
підполковник			Андрій ПІСТОЛЬ</v>
          </cell>
          <cell r="G2" t="str">
            <v>Тимчасово виконуючий обов’язки начальника школи індивідуальної підготовки 
військової частини А1890
підполковник							Рустам ОСОКІН</v>
          </cell>
        </row>
      </sheetData>
      <sheetData sheetId="14"/>
    </sheetDataSet>
  </externalBook>
</externalLink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3DAE4C-C046-419B-BDE5-BCD92A1AEA35}">
  <dimension ref="A1:BA18"/>
  <sheetViews>
    <sheetView tabSelected="1" topLeftCell="A4" workbookViewId="0">
      <selection sqref="A1:XFD18"/>
    </sheetView>
  </sheetViews>
  <sheetFormatPr defaultRowHeight="14.4" x14ac:dyDescent="0.3"/>
  <sheetData>
    <row r="1" spans="1:53" s="20" customFormat="1" ht="107.25" customHeight="1" thickBot="1" x14ac:dyDescent="0.3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3" t="s">
        <v>7</v>
      </c>
      <c r="I1" s="2" t="s">
        <v>8</v>
      </c>
      <c r="J1" s="3" t="s">
        <v>9</v>
      </c>
      <c r="K1" s="2" t="s">
        <v>10</v>
      </c>
      <c r="L1" s="3" t="s">
        <v>11</v>
      </c>
      <c r="M1" s="3" t="s">
        <v>12</v>
      </c>
      <c r="N1" s="3" t="s">
        <v>13</v>
      </c>
      <c r="O1" s="2" t="s">
        <v>14</v>
      </c>
      <c r="P1" s="4" t="s">
        <v>15</v>
      </c>
      <c r="Q1" s="3" t="s">
        <v>16</v>
      </c>
      <c r="R1" s="2" t="s">
        <v>17</v>
      </c>
      <c r="S1" s="2" t="s">
        <v>18</v>
      </c>
      <c r="T1" s="3" t="s">
        <v>19</v>
      </c>
      <c r="U1" s="2" t="s">
        <v>20</v>
      </c>
      <c r="V1" s="3" t="s">
        <v>21</v>
      </c>
      <c r="W1" s="5" t="s">
        <v>22</v>
      </c>
      <c r="X1" s="5" t="s">
        <v>23</v>
      </c>
      <c r="Y1" s="6" t="s">
        <v>24</v>
      </c>
      <c r="Z1" s="7" t="s">
        <v>25</v>
      </c>
      <c r="AA1" s="7" t="s">
        <v>26</v>
      </c>
      <c r="AB1" s="7" t="s">
        <v>27</v>
      </c>
      <c r="AC1" s="8" t="s">
        <v>28</v>
      </c>
      <c r="AD1" s="9" t="s">
        <v>29</v>
      </c>
      <c r="AE1" s="10" t="s">
        <v>30</v>
      </c>
      <c r="AF1" s="9" t="s">
        <v>31</v>
      </c>
      <c r="AG1" s="9" t="s">
        <v>32</v>
      </c>
      <c r="AH1" s="9" t="s">
        <v>33</v>
      </c>
      <c r="AI1" s="11" t="s">
        <v>34</v>
      </c>
      <c r="AJ1" s="11" t="s">
        <v>35</v>
      </c>
      <c r="AK1" s="9" t="s">
        <v>36</v>
      </c>
      <c r="AL1" s="12" t="s">
        <v>37</v>
      </c>
      <c r="AM1" s="12" t="s">
        <v>38</v>
      </c>
      <c r="AN1" s="12" t="s">
        <v>39</v>
      </c>
      <c r="AO1" s="12" t="s">
        <v>40</v>
      </c>
      <c r="AP1" s="12" t="s">
        <v>41</v>
      </c>
      <c r="AQ1" s="13" t="s">
        <v>42</v>
      </c>
      <c r="AR1" s="14" t="s">
        <v>43</v>
      </c>
      <c r="AS1" s="14" t="s">
        <v>44</v>
      </c>
      <c r="AT1" s="15" t="s">
        <v>45</v>
      </c>
      <c r="AU1" s="16" t="s">
        <v>46</v>
      </c>
      <c r="AV1" s="16" t="s">
        <v>47</v>
      </c>
      <c r="AW1" s="17" t="s">
        <v>48</v>
      </c>
      <c r="AX1" s="17" t="s">
        <v>49</v>
      </c>
      <c r="AY1" s="17" t="s">
        <v>50</v>
      </c>
      <c r="AZ1" s="18"/>
      <c r="BA1" s="19"/>
    </row>
    <row r="2" spans="1:53" s="33" customFormat="1" ht="15" customHeight="1" x14ac:dyDescent="0.3">
      <c r="A2" s="21">
        <f>ROW()-1</f>
        <v>1</v>
      </c>
      <c r="B2" s="22">
        <v>562601</v>
      </c>
      <c r="C2" s="22" t="s">
        <v>51</v>
      </c>
      <c r="D2" s="22" t="s">
        <v>52</v>
      </c>
      <c r="E2" s="22" t="s">
        <v>53</v>
      </c>
      <c r="F2" s="22">
        <v>1</v>
      </c>
      <c r="G2" s="23" t="s">
        <v>54</v>
      </c>
      <c r="H2" s="22" t="s">
        <v>55</v>
      </c>
      <c r="I2" s="24"/>
      <c r="J2" s="24"/>
      <c r="K2" s="22"/>
      <c r="L2" s="24">
        <v>36195</v>
      </c>
      <c r="M2" s="25" t="s">
        <v>56</v>
      </c>
      <c r="N2" s="22" t="s">
        <v>57</v>
      </c>
      <c r="O2" s="22">
        <v>3619403470</v>
      </c>
      <c r="P2" s="26" t="s">
        <v>58</v>
      </c>
      <c r="Q2" s="22" t="s">
        <v>59</v>
      </c>
      <c r="R2" s="22" t="s">
        <v>60</v>
      </c>
      <c r="S2" s="22" t="s">
        <v>61</v>
      </c>
      <c r="T2" s="25" t="s">
        <v>62</v>
      </c>
      <c r="U2" s="25" t="s">
        <v>63</v>
      </c>
      <c r="V2" s="22"/>
      <c r="W2" s="25" t="s">
        <v>64</v>
      </c>
      <c r="X2" s="22" t="s">
        <v>65</v>
      </c>
      <c r="Y2" s="25" t="s">
        <v>66</v>
      </c>
      <c r="Z2" s="22" t="s">
        <v>67</v>
      </c>
      <c r="AA2" s="22" t="s">
        <v>67</v>
      </c>
      <c r="AB2" s="22" t="s">
        <v>68</v>
      </c>
      <c r="AC2" s="25" t="s">
        <v>69</v>
      </c>
      <c r="AD2" s="22" t="s">
        <v>70</v>
      </c>
      <c r="AE2" s="26" t="s">
        <v>71</v>
      </c>
      <c r="AF2" s="22" t="s">
        <v>72</v>
      </c>
      <c r="AG2" s="22" t="s">
        <v>70</v>
      </c>
      <c r="AH2" s="22" t="s">
        <v>70</v>
      </c>
      <c r="AI2" s="27" t="s">
        <v>73</v>
      </c>
      <c r="AJ2" s="27" t="s">
        <v>74</v>
      </c>
      <c r="AK2" s="22" t="s">
        <v>75</v>
      </c>
      <c r="AL2" s="28" t="s">
        <v>76</v>
      </c>
      <c r="AM2" s="28" t="s">
        <v>77</v>
      </c>
      <c r="AN2" s="5" t="s">
        <v>76</v>
      </c>
      <c r="AO2" s="28" t="s">
        <v>76</v>
      </c>
      <c r="AP2" s="28" t="s">
        <v>76</v>
      </c>
      <c r="AQ2" s="28" t="s">
        <v>77</v>
      </c>
      <c r="AR2" s="29" t="s">
        <v>78</v>
      </c>
      <c r="AS2" s="29">
        <v>3252</v>
      </c>
      <c r="AT2" s="30">
        <f ca="1">TODAY()</f>
        <v>46269</v>
      </c>
      <c r="AU2" s="30"/>
      <c r="AV2" s="31" t="str">
        <f>'[1]Рапорт лікарня з лікарні'!$E$2</f>
        <v>Командир 4 навчальної роти-старший викладач 3 навчального батальйону 
школи індивідуальної підготовки військової частини А1890
старший лейтенант						Сергій ПАШІН</v>
      </c>
      <c r="AW2" s="32" t="str">
        <f>'[1]Рапорт лікарня з лікарні'!$F$2</f>
        <v>Командир 3 навчального батальйону школи індивідуальної підготовки 
військової частини А1890
підполковник			Андрій ПІСТОЛЬ</v>
      </c>
      <c r="AX2" s="32" t="str">
        <f>'[1]Рапорт лікарня з лікарні'!$D$2</f>
        <v>Дійсним доповідаю по суті рапорту старшого лейтенанта ПАШІНА С.В.</v>
      </c>
      <c r="AY2" s="32" t="str">
        <f>'[1]Рапорт лікарня з лікарні'!$G$2</f>
        <v>Тимчасово виконуючий обов’язки начальника школи індивідуальної підготовки 
військової частини А1890
підполковник							Рустам ОСОКІН</v>
      </c>
    </row>
    <row r="3" spans="1:53" s="33" customFormat="1" ht="15" customHeight="1" x14ac:dyDescent="0.3">
      <c r="A3" s="21">
        <f t="shared" ref="A3:A18" si="0">ROW()-1</f>
        <v>2</v>
      </c>
      <c r="B3" s="22" t="s">
        <v>79</v>
      </c>
      <c r="C3" s="22" t="s">
        <v>80</v>
      </c>
      <c r="D3" s="22" t="s">
        <v>81</v>
      </c>
      <c r="E3" s="22" t="s">
        <v>53</v>
      </c>
      <c r="F3" s="22">
        <v>1</v>
      </c>
      <c r="G3" s="23" t="s">
        <v>54</v>
      </c>
      <c r="H3" s="22" t="s">
        <v>55</v>
      </c>
      <c r="I3" s="24"/>
      <c r="J3" s="24" t="s">
        <v>76</v>
      </c>
      <c r="K3" s="22"/>
      <c r="L3" s="24">
        <v>26119</v>
      </c>
      <c r="M3" s="22" t="s">
        <v>82</v>
      </c>
      <c r="N3" s="22" t="s">
        <v>83</v>
      </c>
      <c r="O3" s="22">
        <v>2611815111</v>
      </c>
      <c r="P3" s="26" t="s">
        <v>84</v>
      </c>
      <c r="Q3" s="25" t="s">
        <v>85</v>
      </c>
      <c r="R3" s="22" t="s">
        <v>86</v>
      </c>
      <c r="S3" s="22" t="s">
        <v>87</v>
      </c>
      <c r="T3" s="22" t="s">
        <v>88</v>
      </c>
      <c r="U3" s="25" t="s">
        <v>89</v>
      </c>
      <c r="V3" s="22" t="s">
        <v>90</v>
      </c>
      <c r="W3" s="25" t="s">
        <v>91</v>
      </c>
      <c r="X3" s="22" t="s">
        <v>92</v>
      </c>
      <c r="Y3" s="25" t="s">
        <v>93</v>
      </c>
      <c r="Z3" s="25" t="s">
        <v>94</v>
      </c>
      <c r="AA3" s="22" t="s">
        <v>95</v>
      </c>
      <c r="AB3" s="25" t="s">
        <v>68</v>
      </c>
      <c r="AC3" s="22" t="s">
        <v>96</v>
      </c>
      <c r="AD3" s="22" t="s">
        <v>70</v>
      </c>
      <c r="AE3" s="26" t="s">
        <v>97</v>
      </c>
      <c r="AF3" s="22" t="s">
        <v>98</v>
      </c>
      <c r="AG3" s="22" t="s">
        <v>99</v>
      </c>
      <c r="AH3" s="22" t="s">
        <v>70</v>
      </c>
      <c r="AI3" s="27" t="s">
        <v>100</v>
      </c>
      <c r="AJ3" s="27" t="s">
        <v>101</v>
      </c>
      <c r="AK3" s="22" t="s">
        <v>75</v>
      </c>
      <c r="AL3" s="28" t="s">
        <v>102</v>
      </c>
      <c r="AM3" s="28" t="s">
        <v>76</v>
      </c>
      <c r="AN3" s="5" t="s">
        <v>76</v>
      </c>
      <c r="AO3" s="28" t="s">
        <v>76</v>
      </c>
      <c r="AP3" s="28" t="s">
        <v>76</v>
      </c>
      <c r="AQ3" s="28" t="s">
        <v>77</v>
      </c>
      <c r="AR3" s="29"/>
      <c r="AS3" s="29"/>
      <c r="AU3" s="30"/>
      <c r="AV3" s="31" t="str">
        <f>'[1]Рапорт лікарня з лікарні'!$E$2</f>
        <v>Командир 4 навчальної роти-старший викладач 3 навчального батальйону 
школи індивідуальної підготовки військової частини А1890
старший лейтенант						Сергій ПАШІН</v>
      </c>
      <c r="AW3" s="32" t="str">
        <f>'[1]Рапорт лікарня з лікарні'!$F$2</f>
        <v>Командир 3 навчального батальйону школи індивідуальної підготовки 
військової частини А1890
підполковник			Андрій ПІСТОЛЬ</v>
      </c>
      <c r="AX3" s="32" t="str">
        <f>'[1]Рапорт лікарня з лікарні'!$D$2</f>
        <v>Дійсним доповідаю по суті рапорту старшого лейтенанта ПАШІНА С.В.</v>
      </c>
      <c r="AY3" s="32" t="str">
        <f>'[1]Рапорт лікарня з лікарні'!$G$2</f>
        <v>Тимчасово виконуючий обов’язки начальника школи індивідуальної підготовки 
військової частини А1890
підполковник							Рустам ОСОКІН</v>
      </c>
    </row>
    <row r="4" spans="1:53" s="33" customFormat="1" ht="15" customHeight="1" x14ac:dyDescent="0.3">
      <c r="A4" s="21">
        <f t="shared" si="0"/>
        <v>3</v>
      </c>
      <c r="B4" s="22" t="s">
        <v>103</v>
      </c>
      <c r="C4" s="22" t="s">
        <v>51</v>
      </c>
      <c r="D4" s="22" t="s">
        <v>104</v>
      </c>
      <c r="E4" s="22" t="s">
        <v>53</v>
      </c>
      <c r="F4" s="22">
        <v>1</v>
      </c>
      <c r="G4" s="23" t="s">
        <v>54</v>
      </c>
      <c r="H4" s="22" t="s">
        <v>55</v>
      </c>
      <c r="I4" s="22"/>
      <c r="J4" s="22"/>
      <c r="K4" s="22"/>
      <c r="L4" s="24">
        <v>26629</v>
      </c>
      <c r="M4" s="22" t="s">
        <v>105</v>
      </c>
      <c r="N4" s="22" t="s">
        <v>106</v>
      </c>
      <c r="O4" s="22">
        <v>2662818493</v>
      </c>
      <c r="P4" s="26" t="s">
        <v>107</v>
      </c>
      <c r="Q4" s="22" t="s">
        <v>108</v>
      </c>
      <c r="R4" s="22" t="s">
        <v>109</v>
      </c>
      <c r="S4" s="22" t="s">
        <v>110</v>
      </c>
      <c r="T4" s="25" t="s">
        <v>111</v>
      </c>
      <c r="U4" s="25" t="s">
        <v>112</v>
      </c>
      <c r="V4" s="22" t="s">
        <v>113</v>
      </c>
      <c r="W4" s="22" t="s">
        <v>114</v>
      </c>
      <c r="X4" s="25" t="s">
        <v>115</v>
      </c>
      <c r="Y4" s="25" t="s">
        <v>116</v>
      </c>
      <c r="Z4" s="22" t="s">
        <v>70</v>
      </c>
      <c r="AA4" s="22" t="s">
        <v>70</v>
      </c>
      <c r="AB4" s="22" t="s">
        <v>68</v>
      </c>
      <c r="AC4" s="22" t="s">
        <v>117</v>
      </c>
      <c r="AD4" s="22" t="s">
        <v>70</v>
      </c>
      <c r="AE4" s="26" t="s">
        <v>97</v>
      </c>
      <c r="AF4" s="22" t="s">
        <v>72</v>
      </c>
      <c r="AG4" s="22" t="s">
        <v>70</v>
      </c>
      <c r="AH4" s="22" t="s">
        <v>70</v>
      </c>
      <c r="AI4" s="27" t="s">
        <v>70</v>
      </c>
      <c r="AJ4" s="27" t="s">
        <v>118</v>
      </c>
      <c r="AK4" s="22" t="s">
        <v>75</v>
      </c>
      <c r="AL4" s="28" t="s">
        <v>102</v>
      </c>
      <c r="AM4" s="28" t="s">
        <v>77</v>
      </c>
      <c r="AN4" s="5" t="s">
        <v>76</v>
      </c>
      <c r="AO4" s="28" t="s">
        <v>77</v>
      </c>
      <c r="AP4" s="28" t="s">
        <v>76</v>
      </c>
      <c r="AQ4" s="28" t="s">
        <v>77</v>
      </c>
      <c r="AR4" s="29"/>
      <c r="AS4" s="29"/>
      <c r="AU4" s="30"/>
      <c r="AV4" s="31" t="str">
        <f>'[1]Рапорт лікарня з лікарні'!$E$2</f>
        <v>Командир 4 навчальної роти-старший викладач 3 навчального батальйону 
школи індивідуальної підготовки військової частини А1890
старший лейтенант						Сергій ПАШІН</v>
      </c>
      <c r="AW4" s="32" t="str">
        <f>'[1]Рапорт лікарня з лікарні'!$F$2</f>
        <v>Командир 3 навчального батальйону школи індивідуальної підготовки 
військової частини А1890
підполковник			Андрій ПІСТОЛЬ</v>
      </c>
      <c r="AX4" s="32" t="str">
        <f>'[1]Рапорт лікарня з лікарні'!$D$2</f>
        <v>Дійсним доповідаю по суті рапорту старшого лейтенанта ПАШІНА С.В.</v>
      </c>
      <c r="AY4" s="32" t="str">
        <f>'[1]Рапорт лікарня з лікарні'!$G$2</f>
        <v>Тимчасово виконуючий обов’язки начальника школи індивідуальної підготовки 
військової частини А1890
підполковник							Рустам ОСОКІН</v>
      </c>
    </row>
    <row r="5" spans="1:53" s="33" customFormat="1" ht="15" customHeight="1" x14ac:dyDescent="0.3">
      <c r="A5" s="21">
        <f t="shared" si="0"/>
        <v>4</v>
      </c>
      <c r="B5" s="22" t="s">
        <v>119</v>
      </c>
      <c r="C5" s="22" t="s">
        <v>51</v>
      </c>
      <c r="D5" s="22" t="s">
        <v>120</v>
      </c>
      <c r="E5" s="22" t="s">
        <v>53</v>
      </c>
      <c r="F5" s="22">
        <v>1</v>
      </c>
      <c r="G5" s="23" t="s">
        <v>54</v>
      </c>
      <c r="H5" s="22" t="s">
        <v>55</v>
      </c>
      <c r="I5" s="22"/>
      <c r="J5" s="22"/>
      <c r="K5" s="22"/>
      <c r="L5" s="24">
        <v>24862</v>
      </c>
      <c r="M5" s="22" t="s">
        <v>121</v>
      </c>
      <c r="N5" s="22" t="s">
        <v>122</v>
      </c>
      <c r="O5" s="22">
        <v>2486100356</v>
      </c>
      <c r="P5" s="26" t="s">
        <v>123</v>
      </c>
      <c r="Q5" s="22" t="s">
        <v>124</v>
      </c>
      <c r="R5" s="22" t="s">
        <v>125</v>
      </c>
      <c r="S5" s="22" t="s">
        <v>126</v>
      </c>
      <c r="T5" s="22" t="s">
        <v>127</v>
      </c>
      <c r="U5" s="22" t="s">
        <v>128</v>
      </c>
      <c r="V5" s="22" t="s">
        <v>129</v>
      </c>
      <c r="W5" s="25" t="s">
        <v>130</v>
      </c>
      <c r="X5" s="25" t="s">
        <v>131</v>
      </c>
      <c r="Y5" s="25" t="s">
        <v>132</v>
      </c>
      <c r="Z5" s="22" t="s">
        <v>133</v>
      </c>
      <c r="AA5" s="22" t="s">
        <v>133</v>
      </c>
      <c r="AB5" s="22" t="s">
        <v>68</v>
      </c>
      <c r="AC5" s="22" t="s">
        <v>134</v>
      </c>
      <c r="AD5" s="22" t="s">
        <v>70</v>
      </c>
      <c r="AE5" s="26" t="s">
        <v>97</v>
      </c>
      <c r="AF5" s="22" t="s">
        <v>72</v>
      </c>
      <c r="AG5" s="22" t="s">
        <v>133</v>
      </c>
      <c r="AH5" s="22" t="s">
        <v>133</v>
      </c>
      <c r="AI5" s="27" t="s">
        <v>133</v>
      </c>
      <c r="AJ5" s="27" t="s">
        <v>135</v>
      </c>
      <c r="AK5" s="22" t="s">
        <v>75</v>
      </c>
      <c r="AL5" s="28" t="s">
        <v>102</v>
      </c>
      <c r="AM5" s="5" t="s">
        <v>77</v>
      </c>
      <c r="AN5" s="28" t="s">
        <v>76</v>
      </c>
      <c r="AO5" s="28" t="s">
        <v>76</v>
      </c>
      <c r="AP5" s="28" t="s">
        <v>76</v>
      </c>
      <c r="AQ5" s="28" t="s">
        <v>77</v>
      </c>
      <c r="AR5" s="29"/>
      <c r="AS5" s="29"/>
      <c r="AU5" s="30"/>
      <c r="AV5" s="31" t="str">
        <f>'[1]Рапорт лікарня з лікарні'!$E$2</f>
        <v>Командир 4 навчальної роти-старший викладач 3 навчального батальйону 
школи індивідуальної підготовки військової частини А1890
старший лейтенант						Сергій ПАШІН</v>
      </c>
      <c r="AW5" s="32" t="str">
        <f>'[1]Рапорт лікарня з лікарні'!$F$2</f>
        <v>Командир 3 навчального батальйону школи індивідуальної підготовки 
військової частини А1890
підполковник			Андрій ПІСТОЛЬ</v>
      </c>
      <c r="AX5" s="32" t="str">
        <f>'[1]Рапорт лікарня з лікарні'!$D$2</f>
        <v>Дійсним доповідаю по суті рапорту старшого лейтенанта ПАШІНА С.В.</v>
      </c>
      <c r="AY5" s="32" t="str">
        <f>'[1]Рапорт лікарня з лікарні'!$G$2</f>
        <v>Тимчасово виконуючий обов’язки начальника школи індивідуальної підготовки 
військової частини А1890
підполковник							Рустам ОСОКІН</v>
      </c>
    </row>
    <row r="6" spans="1:53" s="33" customFormat="1" ht="15" customHeight="1" x14ac:dyDescent="0.3">
      <c r="A6" s="21">
        <f t="shared" si="0"/>
        <v>5</v>
      </c>
      <c r="B6" s="22" t="s">
        <v>136</v>
      </c>
      <c r="C6" s="22" t="s">
        <v>51</v>
      </c>
      <c r="D6" s="22" t="s">
        <v>137</v>
      </c>
      <c r="E6" s="22" t="s">
        <v>138</v>
      </c>
      <c r="F6" s="22">
        <v>1</v>
      </c>
      <c r="G6" s="23" t="s">
        <v>54</v>
      </c>
      <c r="H6" s="22" t="s">
        <v>55</v>
      </c>
      <c r="I6" s="24"/>
      <c r="J6" s="24" t="s">
        <v>76</v>
      </c>
      <c r="K6" s="22"/>
      <c r="L6" s="24">
        <v>27830</v>
      </c>
      <c r="M6" s="22" t="s">
        <v>139</v>
      </c>
      <c r="N6" s="22" t="s">
        <v>140</v>
      </c>
      <c r="O6" s="22">
        <v>2782920954</v>
      </c>
      <c r="P6" s="26" t="s">
        <v>141</v>
      </c>
      <c r="Q6" s="22" t="s">
        <v>142</v>
      </c>
      <c r="R6" s="22" t="s">
        <v>143</v>
      </c>
      <c r="S6" s="22" t="s">
        <v>143</v>
      </c>
      <c r="T6" s="22" t="s">
        <v>144</v>
      </c>
      <c r="U6" s="22" t="s">
        <v>145</v>
      </c>
      <c r="V6" s="22"/>
      <c r="W6" s="25" t="s">
        <v>146</v>
      </c>
      <c r="X6" s="25" t="s">
        <v>147</v>
      </c>
      <c r="Y6" s="25" t="s">
        <v>148</v>
      </c>
      <c r="Z6" s="22" t="s">
        <v>70</v>
      </c>
      <c r="AA6" s="22" t="s">
        <v>149</v>
      </c>
      <c r="AB6" s="22" t="s">
        <v>68</v>
      </c>
      <c r="AC6" s="25" t="s">
        <v>150</v>
      </c>
      <c r="AD6" s="22" t="s">
        <v>151</v>
      </c>
      <c r="AE6" s="26" t="s">
        <v>152</v>
      </c>
      <c r="AF6" s="22" t="s">
        <v>153</v>
      </c>
      <c r="AG6" s="22" t="s">
        <v>154</v>
      </c>
      <c r="AH6" s="22" t="s">
        <v>70</v>
      </c>
      <c r="AI6" s="27" t="s">
        <v>155</v>
      </c>
      <c r="AJ6" s="27" t="s">
        <v>156</v>
      </c>
      <c r="AK6" s="22" t="s">
        <v>75</v>
      </c>
      <c r="AL6" s="28" t="s">
        <v>76</v>
      </c>
      <c r="AM6" s="28" t="s">
        <v>77</v>
      </c>
      <c r="AN6" s="34" t="s">
        <v>76</v>
      </c>
      <c r="AO6" s="28"/>
      <c r="AP6" s="28" t="s">
        <v>76</v>
      </c>
      <c r="AQ6" s="28"/>
      <c r="AR6" s="28"/>
      <c r="AS6" s="28"/>
      <c r="AU6" s="30"/>
      <c r="AV6" s="31" t="str">
        <f>'[1]Рапорт лікарня з лікарні'!$E$2</f>
        <v>Командир 4 навчальної роти-старший викладач 3 навчального батальйону 
школи індивідуальної підготовки військової частини А1890
старший лейтенант						Сергій ПАШІН</v>
      </c>
      <c r="AW6" s="32" t="str">
        <f>'[1]Рапорт лікарня з лікарні'!$F$2</f>
        <v>Командир 3 навчального батальйону школи індивідуальної підготовки 
військової частини А1890
підполковник			Андрій ПІСТОЛЬ</v>
      </c>
      <c r="AX6" s="32" t="str">
        <f>'[1]Рапорт лікарня з лікарні'!$D$2</f>
        <v>Дійсним доповідаю по суті рапорту старшого лейтенанта ПАШІНА С.В.</v>
      </c>
      <c r="AY6" s="32" t="str">
        <f>'[1]Рапорт лікарня з лікарні'!$G$2</f>
        <v>Тимчасово виконуючий обов’язки начальника школи індивідуальної підготовки 
військової частини А1890
підполковник							Рустам ОСОКІН</v>
      </c>
    </row>
    <row r="7" spans="1:53" s="33" customFormat="1" ht="15" customHeight="1" x14ac:dyDescent="0.3">
      <c r="A7" s="21">
        <f t="shared" si="0"/>
        <v>6</v>
      </c>
      <c r="B7" s="22" t="s">
        <v>157</v>
      </c>
      <c r="C7" s="22" t="s">
        <v>51</v>
      </c>
      <c r="D7" s="22" t="s">
        <v>158</v>
      </c>
      <c r="E7" s="22" t="s">
        <v>53</v>
      </c>
      <c r="F7" s="22">
        <v>1</v>
      </c>
      <c r="G7" s="23" t="s">
        <v>54</v>
      </c>
      <c r="H7" s="22" t="s">
        <v>55</v>
      </c>
      <c r="I7" s="22"/>
      <c r="J7" s="22"/>
      <c r="K7" s="22"/>
      <c r="L7" s="24">
        <v>30290</v>
      </c>
      <c r="M7" s="22" t="s">
        <v>159</v>
      </c>
      <c r="N7" s="22" t="s">
        <v>160</v>
      </c>
      <c r="O7" s="22">
        <v>3028920156</v>
      </c>
      <c r="P7" s="26" t="s">
        <v>161</v>
      </c>
      <c r="Q7" s="25" t="s">
        <v>162</v>
      </c>
      <c r="R7" s="22" t="s">
        <v>163</v>
      </c>
      <c r="S7" s="22" t="s">
        <v>163</v>
      </c>
      <c r="T7" s="25" t="s">
        <v>164</v>
      </c>
      <c r="U7" s="22" t="s">
        <v>165</v>
      </c>
      <c r="V7" s="22" t="s">
        <v>129</v>
      </c>
      <c r="W7" s="25" t="s">
        <v>166</v>
      </c>
      <c r="X7" s="25" t="s">
        <v>167</v>
      </c>
      <c r="Y7" s="25" t="s">
        <v>168</v>
      </c>
      <c r="Z7" s="22" t="s">
        <v>70</v>
      </c>
      <c r="AA7" s="22" t="s">
        <v>70</v>
      </c>
      <c r="AB7" s="25" t="s">
        <v>169</v>
      </c>
      <c r="AC7" s="25" t="s">
        <v>170</v>
      </c>
      <c r="AD7" s="22" t="s">
        <v>70</v>
      </c>
      <c r="AE7" s="26" t="s">
        <v>71</v>
      </c>
      <c r="AF7" s="22" t="s">
        <v>72</v>
      </c>
      <c r="AG7" s="22" t="s">
        <v>171</v>
      </c>
      <c r="AH7" s="22" t="s">
        <v>172</v>
      </c>
      <c r="AI7" s="27" t="s">
        <v>173</v>
      </c>
      <c r="AJ7" s="27" t="s">
        <v>174</v>
      </c>
      <c r="AK7" s="22" t="s">
        <v>75</v>
      </c>
      <c r="AL7" s="28" t="s">
        <v>102</v>
      </c>
      <c r="AM7" s="28" t="s">
        <v>77</v>
      </c>
      <c r="AN7" s="5" t="s">
        <v>76</v>
      </c>
      <c r="AO7" s="28"/>
      <c r="AP7" s="28" t="s">
        <v>76</v>
      </c>
      <c r="AQ7" s="28"/>
      <c r="AR7" s="28"/>
      <c r="AS7" s="28"/>
      <c r="AU7" s="30"/>
      <c r="AV7" s="31" t="str">
        <f>'[1]Рапорт лікарня з лікарні'!$E$2</f>
        <v>Командир 4 навчальної роти-старший викладач 3 навчального батальйону 
школи індивідуальної підготовки військової частини А1890
старший лейтенант						Сергій ПАШІН</v>
      </c>
      <c r="AW7" s="32" t="str">
        <f>'[1]Рапорт лікарня з лікарні'!$F$2</f>
        <v>Командир 3 навчального батальйону школи індивідуальної підготовки 
військової частини А1890
підполковник			Андрій ПІСТОЛЬ</v>
      </c>
      <c r="AX7" s="32" t="str">
        <f>'[1]Рапорт лікарня з лікарні'!$D$2</f>
        <v>Дійсним доповідаю по суті рапорту старшого лейтенанта ПАШІНА С.В.</v>
      </c>
      <c r="AY7" s="32" t="str">
        <f>'[1]Рапорт лікарня з лікарні'!$G$2</f>
        <v>Тимчасово виконуючий обов’язки начальника школи індивідуальної підготовки 
військової частини А1890
підполковник							Рустам ОСОКІН</v>
      </c>
    </row>
    <row r="8" spans="1:53" s="33" customFormat="1" ht="15" customHeight="1" x14ac:dyDescent="0.3">
      <c r="A8" s="21">
        <f t="shared" si="0"/>
        <v>7</v>
      </c>
      <c r="B8" s="22" t="s">
        <v>175</v>
      </c>
      <c r="C8" s="22" t="s">
        <v>176</v>
      </c>
      <c r="D8" s="22" t="s">
        <v>177</v>
      </c>
      <c r="E8" s="22" t="s">
        <v>53</v>
      </c>
      <c r="F8" s="22">
        <v>1</v>
      </c>
      <c r="G8" s="23" t="s">
        <v>54</v>
      </c>
      <c r="H8" s="22" t="s">
        <v>55</v>
      </c>
      <c r="I8" s="22"/>
      <c r="J8" s="22"/>
      <c r="K8" s="22"/>
      <c r="L8" s="24">
        <v>24875</v>
      </c>
      <c r="M8" s="22" t="s">
        <v>178</v>
      </c>
      <c r="N8" s="22" t="s">
        <v>179</v>
      </c>
      <c r="O8" s="22">
        <v>2487415777</v>
      </c>
      <c r="P8" s="26" t="s">
        <v>180</v>
      </c>
      <c r="Q8" s="25" t="s">
        <v>181</v>
      </c>
      <c r="R8" s="22" t="s">
        <v>182</v>
      </c>
      <c r="S8" s="22" t="s">
        <v>182</v>
      </c>
      <c r="T8" s="22" t="s">
        <v>183</v>
      </c>
      <c r="U8" s="25" t="s">
        <v>184</v>
      </c>
      <c r="V8" s="22"/>
      <c r="W8" s="25" t="s">
        <v>185</v>
      </c>
      <c r="X8" s="22" t="s">
        <v>186</v>
      </c>
      <c r="Y8" s="25" t="s">
        <v>187</v>
      </c>
      <c r="Z8" s="22" t="s">
        <v>70</v>
      </c>
      <c r="AA8" s="22" t="s">
        <v>70</v>
      </c>
      <c r="AB8" s="22" t="s">
        <v>68</v>
      </c>
      <c r="AC8" s="22" t="s">
        <v>188</v>
      </c>
      <c r="AD8" s="22"/>
      <c r="AE8" s="26" t="s">
        <v>71</v>
      </c>
      <c r="AF8" s="22" t="s">
        <v>72</v>
      </c>
      <c r="AG8" s="22" t="s">
        <v>189</v>
      </c>
      <c r="AH8" s="22" t="s">
        <v>190</v>
      </c>
      <c r="AI8" s="27" t="s">
        <v>70</v>
      </c>
      <c r="AJ8" s="27" t="s">
        <v>191</v>
      </c>
      <c r="AK8" s="22" t="s">
        <v>75</v>
      </c>
      <c r="AL8" s="28" t="s">
        <v>76</v>
      </c>
      <c r="AM8" s="28" t="s">
        <v>77</v>
      </c>
      <c r="AN8" s="5" t="s">
        <v>76</v>
      </c>
      <c r="AO8" s="28"/>
      <c r="AP8" s="28" t="s">
        <v>76</v>
      </c>
      <c r="AQ8" s="28"/>
      <c r="AR8" s="28"/>
      <c r="AS8" s="28"/>
      <c r="AU8" s="30"/>
      <c r="AV8" s="31" t="str">
        <f>'[1]Рапорт лікарня з лікарні'!$E$2</f>
        <v>Командир 4 навчальної роти-старший викладач 3 навчального батальйону 
школи індивідуальної підготовки військової частини А1890
старший лейтенант						Сергій ПАШІН</v>
      </c>
      <c r="AW8" s="32" t="str">
        <f>'[1]Рапорт лікарня з лікарні'!$F$2</f>
        <v>Командир 3 навчального батальйону школи індивідуальної підготовки 
військової частини А1890
підполковник			Андрій ПІСТОЛЬ</v>
      </c>
      <c r="AX8" s="32" t="str">
        <f>'[1]Рапорт лікарня з лікарні'!$D$2</f>
        <v>Дійсним доповідаю по суті рапорту старшого лейтенанта ПАШІНА С.В.</v>
      </c>
      <c r="AY8" s="32" t="str">
        <f>'[1]Рапорт лікарня з лікарні'!$G$2</f>
        <v>Тимчасово виконуючий обов’язки начальника школи індивідуальної підготовки 
військової частини А1890
підполковник							Рустам ОСОКІН</v>
      </c>
    </row>
    <row r="9" spans="1:53" s="33" customFormat="1" ht="15" customHeight="1" x14ac:dyDescent="0.3">
      <c r="A9" s="21">
        <f t="shared" si="0"/>
        <v>8</v>
      </c>
      <c r="B9" s="22">
        <v>566955</v>
      </c>
      <c r="C9" s="22" t="s">
        <v>51</v>
      </c>
      <c r="D9" s="22" t="s">
        <v>192</v>
      </c>
      <c r="E9" s="22" t="s">
        <v>53</v>
      </c>
      <c r="F9" s="22">
        <v>1</v>
      </c>
      <c r="G9" s="23" t="s">
        <v>54</v>
      </c>
      <c r="H9" s="22" t="s">
        <v>55</v>
      </c>
      <c r="I9" s="22"/>
      <c r="J9" s="22"/>
      <c r="K9" s="22"/>
      <c r="L9" s="24">
        <v>27199</v>
      </c>
      <c r="M9" s="22" t="s">
        <v>193</v>
      </c>
      <c r="N9" s="22" t="s">
        <v>194</v>
      </c>
      <c r="O9" s="22">
        <v>2719816835</v>
      </c>
      <c r="P9" s="26" t="s">
        <v>195</v>
      </c>
      <c r="Q9" s="25" t="s">
        <v>196</v>
      </c>
      <c r="R9" s="22" t="s">
        <v>197</v>
      </c>
      <c r="S9" s="22" t="s">
        <v>197</v>
      </c>
      <c r="T9" s="22" t="s">
        <v>198</v>
      </c>
      <c r="U9" s="22" t="s">
        <v>199</v>
      </c>
      <c r="V9" s="22" t="s">
        <v>129</v>
      </c>
      <c r="W9" s="25" t="s">
        <v>200</v>
      </c>
      <c r="X9" s="25" t="s">
        <v>201</v>
      </c>
      <c r="Y9" s="25" t="s">
        <v>202</v>
      </c>
      <c r="Z9" s="22" t="s">
        <v>133</v>
      </c>
      <c r="AA9" s="22" t="s">
        <v>133</v>
      </c>
      <c r="AB9" s="22" t="s">
        <v>68</v>
      </c>
      <c r="AC9" s="22" t="s">
        <v>203</v>
      </c>
      <c r="AD9" s="22" t="s">
        <v>204</v>
      </c>
      <c r="AE9" s="26" t="s">
        <v>205</v>
      </c>
      <c r="AF9" s="22" t="s">
        <v>153</v>
      </c>
      <c r="AG9" s="25" t="s">
        <v>206</v>
      </c>
      <c r="AH9" s="22" t="s">
        <v>70</v>
      </c>
      <c r="AI9" s="27" t="s">
        <v>207</v>
      </c>
      <c r="AJ9" s="27" t="s">
        <v>208</v>
      </c>
      <c r="AK9" s="22" t="s">
        <v>75</v>
      </c>
      <c r="AL9" s="28" t="s">
        <v>102</v>
      </c>
      <c r="AM9" s="5" t="s">
        <v>76</v>
      </c>
      <c r="AN9" s="28" t="s">
        <v>77</v>
      </c>
      <c r="AO9" s="28"/>
      <c r="AP9" s="28" t="s">
        <v>76</v>
      </c>
      <c r="AQ9" s="28"/>
      <c r="AR9" s="28"/>
      <c r="AS9" s="28"/>
      <c r="AU9" s="30"/>
      <c r="AV9" s="31" t="str">
        <f>'[1]Рапорт лікарня з лікарні'!$E$2</f>
        <v>Командир 4 навчальної роти-старший викладач 3 навчального батальйону 
школи індивідуальної підготовки військової частини А1890
старший лейтенант						Сергій ПАШІН</v>
      </c>
      <c r="AW9" s="32" t="str">
        <f>'[1]Рапорт лікарня з лікарні'!$F$2</f>
        <v>Командир 3 навчального батальйону школи індивідуальної підготовки 
військової частини А1890
підполковник			Андрій ПІСТОЛЬ</v>
      </c>
      <c r="AX9" s="32" t="str">
        <f>'[1]Рапорт лікарня з лікарні'!$D$2</f>
        <v>Дійсним доповідаю по суті рапорту старшого лейтенанта ПАШІНА С.В.</v>
      </c>
      <c r="AY9" s="32" t="str">
        <f>'[1]Рапорт лікарня з лікарні'!$G$2</f>
        <v>Тимчасово виконуючий обов’язки начальника школи індивідуальної підготовки 
військової частини А1890
підполковник							Рустам ОСОКІН</v>
      </c>
    </row>
    <row r="10" spans="1:53" s="33" customFormat="1" ht="15" customHeight="1" x14ac:dyDescent="0.3">
      <c r="A10" s="21">
        <f t="shared" si="0"/>
        <v>9</v>
      </c>
      <c r="B10" s="22" t="s">
        <v>209</v>
      </c>
      <c r="C10" s="22" t="s">
        <v>51</v>
      </c>
      <c r="D10" s="22" t="s">
        <v>210</v>
      </c>
      <c r="E10" s="22" t="s">
        <v>53</v>
      </c>
      <c r="F10" s="22">
        <v>1</v>
      </c>
      <c r="G10" s="23" t="s">
        <v>54</v>
      </c>
      <c r="H10" s="22" t="s">
        <v>55</v>
      </c>
      <c r="I10" s="24"/>
      <c r="J10" s="24" t="s">
        <v>76</v>
      </c>
      <c r="K10" s="22"/>
      <c r="L10" s="24">
        <v>37019</v>
      </c>
      <c r="M10" s="22" t="s">
        <v>211</v>
      </c>
      <c r="N10" s="22" t="s">
        <v>212</v>
      </c>
      <c r="O10" s="22">
        <v>3701811497</v>
      </c>
      <c r="P10" s="26" t="s">
        <v>213</v>
      </c>
      <c r="Q10" s="22" t="s">
        <v>214</v>
      </c>
      <c r="R10" s="22" t="s">
        <v>215</v>
      </c>
      <c r="S10" s="22" t="s">
        <v>215</v>
      </c>
      <c r="T10" s="22" t="s">
        <v>216</v>
      </c>
      <c r="U10" s="22" t="s">
        <v>217</v>
      </c>
      <c r="V10" s="22" t="s">
        <v>129</v>
      </c>
      <c r="W10" s="25" t="s">
        <v>218</v>
      </c>
      <c r="X10" s="22" t="s">
        <v>219</v>
      </c>
      <c r="Y10" s="25" t="s">
        <v>220</v>
      </c>
      <c r="Z10" s="25" t="s">
        <v>221</v>
      </c>
      <c r="AA10" s="25" t="s">
        <v>222</v>
      </c>
      <c r="AB10" s="25" t="s">
        <v>68</v>
      </c>
      <c r="AC10" s="22" t="s">
        <v>170</v>
      </c>
      <c r="AD10" s="22" t="s">
        <v>70</v>
      </c>
      <c r="AE10" s="26" t="s">
        <v>71</v>
      </c>
      <c r="AF10" s="22" t="s">
        <v>72</v>
      </c>
      <c r="AG10" s="22" t="s">
        <v>223</v>
      </c>
      <c r="AH10" s="22" t="s">
        <v>70</v>
      </c>
      <c r="AI10" s="27" t="s">
        <v>70</v>
      </c>
      <c r="AJ10" s="27" t="s">
        <v>224</v>
      </c>
      <c r="AK10" s="22" t="s">
        <v>75</v>
      </c>
      <c r="AL10" s="28" t="s">
        <v>102</v>
      </c>
      <c r="AM10" s="28" t="s">
        <v>77</v>
      </c>
      <c r="AN10" s="5" t="s">
        <v>76</v>
      </c>
      <c r="AO10" s="28"/>
      <c r="AP10" s="28" t="s">
        <v>76</v>
      </c>
      <c r="AQ10" s="28"/>
      <c r="AR10" s="28"/>
      <c r="AS10" s="28"/>
      <c r="AU10" s="30"/>
      <c r="AV10" s="31" t="str">
        <f>'[1]Рапорт лікарня з лікарні'!$E$2</f>
        <v>Командир 4 навчальної роти-старший викладач 3 навчального батальйону 
школи індивідуальної підготовки військової частини А1890
старший лейтенант						Сергій ПАШІН</v>
      </c>
      <c r="AW10" s="32" t="str">
        <f>'[1]Рапорт лікарня з лікарні'!$F$2</f>
        <v>Командир 3 навчального батальйону школи індивідуальної підготовки 
військової частини А1890
підполковник			Андрій ПІСТОЛЬ</v>
      </c>
      <c r="AX10" s="32" t="str">
        <f>'[1]Рапорт лікарня з лікарні'!$D$2</f>
        <v>Дійсним доповідаю по суті рапорту старшого лейтенанта ПАШІНА С.В.</v>
      </c>
      <c r="AY10" s="32" t="str">
        <f>'[1]Рапорт лікарня з лікарні'!$G$2</f>
        <v>Тимчасово виконуючий обов’язки начальника школи індивідуальної підготовки 
військової частини А1890
підполковник							Рустам ОСОКІН</v>
      </c>
    </row>
    <row r="11" spans="1:53" s="33" customFormat="1" ht="15" customHeight="1" x14ac:dyDescent="0.3">
      <c r="A11" s="21">
        <f t="shared" si="0"/>
        <v>10</v>
      </c>
      <c r="B11" s="22" t="s">
        <v>225</v>
      </c>
      <c r="C11" s="22" t="s">
        <v>51</v>
      </c>
      <c r="D11" s="22" t="s">
        <v>226</v>
      </c>
      <c r="E11" s="22" t="s">
        <v>53</v>
      </c>
      <c r="F11" s="22">
        <v>1</v>
      </c>
      <c r="G11" s="23" t="s">
        <v>54</v>
      </c>
      <c r="H11" s="22" t="s">
        <v>55</v>
      </c>
      <c r="I11" s="24"/>
      <c r="J11" s="24" t="s">
        <v>76</v>
      </c>
      <c r="K11" s="22"/>
      <c r="L11" s="24">
        <v>27586</v>
      </c>
      <c r="M11" s="22" t="s">
        <v>227</v>
      </c>
      <c r="N11" s="22" t="s">
        <v>228</v>
      </c>
      <c r="O11" s="22">
        <v>2758523911</v>
      </c>
      <c r="P11" s="26" t="s">
        <v>213</v>
      </c>
      <c r="Q11" s="22" t="s">
        <v>129</v>
      </c>
      <c r="R11" s="22" t="s">
        <v>229</v>
      </c>
      <c r="S11" s="22" t="s">
        <v>229</v>
      </c>
      <c r="T11" s="22" t="s">
        <v>230</v>
      </c>
      <c r="U11" s="25" t="s">
        <v>231</v>
      </c>
      <c r="V11" s="22"/>
      <c r="W11" s="25" t="s">
        <v>232</v>
      </c>
      <c r="X11" s="22" t="s">
        <v>219</v>
      </c>
      <c r="Y11" s="25" t="s">
        <v>233</v>
      </c>
      <c r="Z11" s="22" t="s">
        <v>70</v>
      </c>
      <c r="AA11" s="22" t="s">
        <v>234</v>
      </c>
      <c r="AB11" s="22" t="s">
        <v>235</v>
      </c>
      <c r="AC11" s="22" t="s">
        <v>170</v>
      </c>
      <c r="AD11" s="22" t="s">
        <v>70</v>
      </c>
      <c r="AE11" s="26" t="s">
        <v>71</v>
      </c>
      <c r="AF11" s="22" t="s">
        <v>72</v>
      </c>
      <c r="AG11" s="22" t="s">
        <v>236</v>
      </c>
      <c r="AH11" s="22" t="s">
        <v>237</v>
      </c>
      <c r="AI11" s="27" t="s">
        <v>70</v>
      </c>
      <c r="AJ11" s="27" t="s">
        <v>238</v>
      </c>
      <c r="AK11" s="22" t="s">
        <v>75</v>
      </c>
      <c r="AL11" s="28" t="s">
        <v>102</v>
      </c>
      <c r="AM11" s="28" t="s">
        <v>77</v>
      </c>
      <c r="AN11" s="5" t="s">
        <v>76</v>
      </c>
      <c r="AO11" s="28"/>
      <c r="AP11" s="28" t="s">
        <v>76</v>
      </c>
      <c r="AQ11" s="28"/>
      <c r="AR11" s="28"/>
      <c r="AS11" s="28"/>
      <c r="AU11" s="30"/>
      <c r="AV11" s="31" t="str">
        <f>'[1]Рапорт лікарня з лікарні'!$E$2</f>
        <v>Командир 4 навчальної роти-старший викладач 3 навчального батальйону 
школи індивідуальної підготовки військової частини А1890
старший лейтенант						Сергій ПАШІН</v>
      </c>
      <c r="AW11" s="32" t="str">
        <f>'[1]Рапорт лікарня з лікарні'!$F$2</f>
        <v>Командир 3 навчального батальйону школи індивідуальної підготовки 
військової частини А1890
підполковник			Андрій ПІСТОЛЬ</v>
      </c>
      <c r="AX11" s="32" t="str">
        <f>'[1]Рапорт лікарня з лікарні'!$D$2</f>
        <v>Дійсним доповідаю по суті рапорту старшого лейтенанта ПАШІНА С.В.</v>
      </c>
      <c r="AY11" s="32" t="str">
        <f>'[1]Рапорт лікарня з лікарні'!$G$2</f>
        <v>Тимчасово виконуючий обов’язки начальника школи індивідуальної підготовки 
військової частини А1890
підполковник							Рустам ОСОКІН</v>
      </c>
    </row>
    <row r="12" spans="1:53" s="33" customFormat="1" ht="15" customHeight="1" x14ac:dyDescent="0.3">
      <c r="A12" s="21">
        <f t="shared" si="0"/>
        <v>11</v>
      </c>
      <c r="B12" s="22" t="s">
        <v>239</v>
      </c>
      <c r="C12" s="22" t="s">
        <v>51</v>
      </c>
      <c r="D12" s="22" t="s">
        <v>240</v>
      </c>
      <c r="E12" s="22" t="s">
        <v>53</v>
      </c>
      <c r="F12" s="22">
        <v>1</v>
      </c>
      <c r="G12" s="23" t="s">
        <v>54</v>
      </c>
      <c r="H12" s="22" t="s">
        <v>55</v>
      </c>
      <c r="I12" s="24"/>
      <c r="J12" s="24" t="s">
        <v>76</v>
      </c>
      <c r="K12" s="22"/>
      <c r="L12" s="24">
        <v>33101</v>
      </c>
      <c r="M12" s="22" t="s">
        <v>241</v>
      </c>
      <c r="N12" s="22" t="s">
        <v>242</v>
      </c>
      <c r="O12" s="22">
        <v>3310006452</v>
      </c>
      <c r="P12" s="26" t="s">
        <v>243</v>
      </c>
      <c r="Q12" s="25" t="s">
        <v>244</v>
      </c>
      <c r="R12" s="22" t="s">
        <v>245</v>
      </c>
      <c r="S12" s="22" t="s">
        <v>245</v>
      </c>
      <c r="T12" s="22" t="s">
        <v>246</v>
      </c>
      <c r="U12" s="25" t="s">
        <v>247</v>
      </c>
      <c r="V12" s="22"/>
      <c r="W12" s="25" t="s">
        <v>248</v>
      </c>
      <c r="X12" s="22" t="s">
        <v>186</v>
      </c>
      <c r="Y12" s="25" t="s">
        <v>249</v>
      </c>
      <c r="Z12" s="22" t="s">
        <v>250</v>
      </c>
      <c r="AA12" s="22" t="s">
        <v>251</v>
      </c>
      <c r="AB12" s="25" t="s">
        <v>68</v>
      </c>
      <c r="AC12" s="22" t="s">
        <v>170</v>
      </c>
      <c r="AD12" s="22" t="s">
        <v>70</v>
      </c>
      <c r="AE12" s="26" t="s">
        <v>152</v>
      </c>
      <c r="AF12" s="22" t="s">
        <v>72</v>
      </c>
      <c r="AG12" s="22" t="s">
        <v>70</v>
      </c>
      <c r="AH12" s="22" t="s">
        <v>70</v>
      </c>
      <c r="AI12" s="27" t="s">
        <v>252</v>
      </c>
      <c r="AJ12" s="27" t="s">
        <v>253</v>
      </c>
      <c r="AK12" s="22" t="s">
        <v>75</v>
      </c>
      <c r="AL12" s="28" t="s">
        <v>102</v>
      </c>
      <c r="AM12" s="28" t="s">
        <v>77</v>
      </c>
      <c r="AN12" s="5" t="s">
        <v>76</v>
      </c>
      <c r="AO12" s="28"/>
      <c r="AP12" s="28" t="s">
        <v>76</v>
      </c>
      <c r="AQ12" s="28"/>
      <c r="AR12" s="28"/>
      <c r="AS12" s="28"/>
      <c r="AU12" s="30"/>
      <c r="AV12" s="31" t="str">
        <f>'[1]Рапорт лікарня з лікарні'!$E$2</f>
        <v>Командир 4 навчальної роти-старший викладач 3 навчального батальйону 
школи індивідуальної підготовки військової частини А1890
старший лейтенант						Сергій ПАШІН</v>
      </c>
      <c r="AW12" s="32" t="str">
        <f>'[1]Рапорт лікарня з лікарні'!$F$2</f>
        <v>Командир 3 навчального батальйону школи індивідуальної підготовки 
військової частини А1890
підполковник			Андрій ПІСТОЛЬ</v>
      </c>
      <c r="AX12" s="32" t="str">
        <f>'[1]Рапорт лікарня з лікарні'!$D$2</f>
        <v>Дійсним доповідаю по суті рапорту старшого лейтенанта ПАШІНА С.В.</v>
      </c>
      <c r="AY12" s="32" t="str">
        <f>'[1]Рапорт лікарня з лікарні'!$G$2</f>
        <v>Тимчасово виконуючий обов’язки начальника школи індивідуальної підготовки 
військової частини А1890
підполковник							Рустам ОСОКІН</v>
      </c>
    </row>
    <row r="13" spans="1:53" s="33" customFormat="1" ht="15" customHeight="1" x14ac:dyDescent="0.3">
      <c r="A13" s="21">
        <f t="shared" si="0"/>
        <v>12</v>
      </c>
      <c r="B13" s="22" t="s">
        <v>254</v>
      </c>
      <c r="C13" s="22" t="s">
        <v>176</v>
      </c>
      <c r="D13" s="22" t="s">
        <v>255</v>
      </c>
      <c r="E13" s="22" t="s">
        <v>53</v>
      </c>
      <c r="F13" s="22">
        <v>1</v>
      </c>
      <c r="G13" s="23" t="s">
        <v>54</v>
      </c>
      <c r="H13" s="22" t="s">
        <v>55</v>
      </c>
      <c r="I13" s="22"/>
      <c r="J13" s="24"/>
      <c r="K13" s="22"/>
      <c r="L13" s="24">
        <v>28594</v>
      </c>
      <c r="M13" s="22" t="s">
        <v>256</v>
      </c>
      <c r="N13" s="22" t="s">
        <v>257</v>
      </c>
      <c r="O13" s="22">
        <v>2859324110</v>
      </c>
      <c r="P13" s="26" t="s">
        <v>258</v>
      </c>
      <c r="Q13" s="25" t="s">
        <v>259</v>
      </c>
      <c r="R13" s="22" t="s">
        <v>260</v>
      </c>
      <c r="S13" s="22" t="s">
        <v>260</v>
      </c>
      <c r="T13" s="22" t="s">
        <v>261</v>
      </c>
      <c r="U13" s="25" t="s">
        <v>262</v>
      </c>
      <c r="V13" s="22" t="s">
        <v>263</v>
      </c>
      <c r="W13" s="25" t="s">
        <v>264</v>
      </c>
      <c r="X13" s="22" t="s">
        <v>265</v>
      </c>
      <c r="Y13" s="25" t="s">
        <v>266</v>
      </c>
      <c r="Z13" s="22" t="s">
        <v>70</v>
      </c>
      <c r="AA13" s="22" t="s">
        <v>70</v>
      </c>
      <c r="AB13" s="22" t="s">
        <v>68</v>
      </c>
      <c r="AC13" s="25" t="s">
        <v>267</v>
      </c>
      <c r="AD13" s="22" t="s">
        <v>70</v>
      </c>
      <c r="AE13" s="26" t="s">
        <v>71</v>
      </c>
      <c r="AF13" s="22" t="s">
        <v>72</v>
      </c>
      <c r="AG13" s="22" t="s">
        <v>268</v>
      </c>
      <c r="AH13" s="22" t="s">
        <v>70</v>
      </c>
      <c r="AI13" s="27" t="s">
        <v>269</v>
      </c>
      <c r="AJ13" s="27" t="s">
        <v>270</v>
      </c>
      <c r="AK13" s="22" t="s">
        <v>75</v>
      </c>
      <c r="AL13" s="28" t="s">
        <v>76</v>
      </c>
      <c r="AM13" s="28" t="s">
        <v>77</v>
      </c>
      <c r="AN13" s="5" t="s">
        <v>76</v>
      </c>
      <c r="AO13" s="28"/>
      <c r="AP13" s="28" t="s">
        <v>76</v>
      </c>
      <c r="AQ13" s="28"/>
      <c r="AR13" s="28"/>
      <c r="AS13" s="28"/>
      <c r="AU13" s="30"/>
      <c r="AV13" s="31" t="str">
        <f>'[1]Рапорт лікарня з лікарні'!$E$2</f>
        <v>Командир 4 навчальної роти-старший викладач 3 навчального батальйону 
школи індивідуальної підготовки військової частини А1890
старший лейтенант						Сергій ПАШІН</v>
      </c>
      <c r="AW13" s="32" t="str">
        <f>'[1]Рапорт лікарня з лікарні'!$F$2</f>
        <v>Командир 3 навчального батальйону школи індивідуальної підготовки 
військової частини А1890
підполковник			Андрій ПІСТОЛЬ</v>
      </c>
      <c r="AX13" s="32" t="str">
        <f>'[1]Рапорт лікарня з лікарні'!$D$2</f>
        <v>Дійсним доповідаю по суті рапорту старшого лейтенанта ПАШІНА С.В.</v>
      </c>
      <c r="AY13" s="32" t="str">
        <f>'[1]Рапорт лікарня з лікарні'!$G$2</f>
        <v>Тимчасово виконуючий обов’язки начальника школи індивідуальної підготовки 
військової частини А1890
підполковник							Рустам ОСОКІН</v>
      </c>
    </row>
    <row r="14" spans="1:53" s="33" customFormat="1" ht="15" customHeight="1" x14ac:dyDescent="0.3">
      <c r="A14" s="21">
        <f t="shared" si="0"/>
        <v>13</v>
      </c>
      <c r="B14" s="22" t="s">
        <v>271</v>
      </c>
      <c r="C14" s="22" t="s">
        <v>51</v>
      </c>
      <c r="D14" s="22" t="s">
        <v>272</v>
      </c>
      <c r="E14" s="22" t="s">
        <v>53</v>
      </c>
      <c r="F14" s="22">
        <v>1</v>
      </c>
      <c r="G14" s="23" t="s">
        <v>54</v>
      </c>
      <c r="H14" s="22" t="s">
        <v>55</v>
      </c>
      <c r="I14" s="22"/>
      <c r="J14" s="24"/>
      <c r="K14" s="22"/>
      <c r="L14" s="24">
        <v>36643</v>
      </c>
      <c r="M14" s="22" t="s">
        <v>273</v>
      </c>
      <c r="N14" s="22" t="s">
        <v>274</v>
      </c>
      <c r="O14" s="22">
        <v>3664204414</v>
      </c>
      <c r="P14" s="26" t="s">
        <v>275</v>
      </c>
      <c r="Q14" s="22" t="s">
        <v>276</v>
      </c>
      <c r="R14" s="22" t="s">
        <v>277</v>
      </c>
      <c r="S14" s="22" t="s">
        <v>278</v>
      </c>
      <c r="T14" s="22" t="s">
        <v>279</v>
      </c>
      <c r="U14" s="22" t="s">
        <v>280</v>
      </c>
      <c r="V14" s="22" t="s">
        <v>129</v>
      </c>
      <c r="W14" s="25" t="s">
        <v>281</v>
      </c>
      <c r="X14" s="25" t="s">
        <v>282</v>
      </c>
      <c r="Y14" s="25" t="s">
        <v>283</v>
      </c>
      <c r="Z14" s="22" t="s">
        <v>284</v>
      </c>
      <c r="AA14" s="22" t="s">
        <v>70</v>
      </c>
      <c r="AB14" s="25" t="s">
        <v>68</v>
      </c>
      <c r="AC14" s="22" t="s">
        <v>285</v>
      </c>
      <c r="AD14" s="22" t="s">
        <v>70</v>
      </c>
      <c r="AE14" s="26" t="s">
        <v>286</v>
      </c>
      <c r="AF14" s="22" t="s">
        <v>72</v>
      </c>
      <c r="AG14" s="22" t="s">
        <v>287</v>
      </c>
      <c r="AH14" s="22" t="s">
        <v>70</v>
      </c>
      <c r="AI14" s="27" t="s">
        <v>288</v>
      </c>
      <c r="AJ14" s="27" t="s">
        <v>289</v>
      </c>
      <c r="AK14" s="22" t="s">
        <v>75</v>
      </c>
      <c r="AL14" s="28" t="s">
        <v>76</v>
      </c>
      <c r="AM14" s="28" t="s">
        <v>77</v>
      </c>
      <c r="AN14" s="5" t="s">
        <v>76</v>
      </c>
      <c r="AO14" s="28"/>
      <c r="AP14" s="28" t="s">
        <v>76</v>
      </c>
      <c r="AQ14" s="28"/>
      <c r="AR14" s="28"/>
      <c r="AS14" s="28"/>
      <c r="AU14" s="30"/>
      <c r="AV14" s="31" t="str">
        <f>'[1]Рапорт лікарня з лікарні'!$E$2</f>
        <v>Командир 4 навчальної роти-старший викладач 3 навчального батальйону 
школи індивідуальної підготовки військової частини А1890
старший лейтенант						Сергій ПАШІН</v>
      </c>
      <c r="AW14" s="32" t="str">
        <f>'[1]Рапорт лікарня з лікарні'!$F$2</f>
        <v>Командир 3 навчального батальйону школи індивідуальної підготовки 
військової частини А1890
підполковник			Андрій ПІСТОЛЬ</v>
      </c>
      <c r="AX14" s="32" t="str">
        <f>'[1]Рапорт лікарня з лікарні'!$D$2</f>
        <v>Дійсним доповідаю по суті рапорту старшого лейтенанта ПАШІНА С.В.</v>
      </c>
      <c r="AY14" s="32" t="str">
        <f>'[1]Рапорт лікарня з лікарні'!$G$2</f>
        <v>Тимчасово виконуючий обов’язки начальника школи індивідуальної підготовки 
військової частини А1890
підполковник							Рустам ОСОКІН</v>
      </c>
    </row>
    <row r="15" spans="1:53" s="33" customFormat="1" ht="15" customHeight="1" x14ac:dyDescent="0.3">
      <c r="A15" s="21">
        <f t="shared" si="0"/>
        <v>14</v>
      </c>
      <c r="B15" s="22" t="s">
        <v>290</v>
      </c>
      <c r="C15" s="22" t="s">
        <v>51</v>
      </c>
      <c r="D15" s="22" t="s">
        <v>291</v>
      </c>
      <c r="E15" s="22" t="s">
        <v>138</v>
      </c>
      <c r="F15" s="22">
        <v>1</v>
      </c>
      <c r="G15" s="23" t="s">
        <v>54</v>
      </c>
      <c r="H15" s="22" t="s">
        <v>55</v>
      </c>
      <c r="I15" s="24"/>
      <c r="J15" s="24"/>
      <c r="K15" s="22"/>
      <c r="L15" s="24">
        <v>29051</v>
      </c>
      <c r="M15" s="22" t="s">
        <v>292</v>
      </c>
      <c r="N15" s="22" t="s">
        <v>293</v>
      </c>
      <c r="O15" s="22">
        <v>2905002319</v>
      </c>
      <c r="P15" s="26" t="s">
        <v>294</v>
      </c>
      <c r="Q15" s="22" t="s">
        <v>295</v>
      </c>
      <c r="R15" s="22" t="s">
        <v>296</v>
      </c>
      <c r="S15" s="22" t="s">
        <v>296</v>
      </c>
      <c r="T15" s="22"/>
      <c r="U15" s="25" t="s">
        <v>297</v>
      </c>
      <c r="V15" s="22" t="s">
        <v>298</v>
      </c>
      <c r="W15" s="25" t="s">
        <v>299</v>
      </c>
      <c r="X15" s="22" t="s">
        <v>300</v>
      </c>
      <c r="Y15" s="25" t="s">
        <v>301</v>
      </c>
      <c r="Z15" s="22" t="s">
        <v>302</v>
      </c>
      <c r="AA15" s="25" t="s">
        <v>303</v>
      </c>
      <c r="AB15" s="22" t="s">
        <v>68</v>
      </c>
      <c r="AC15" s="25" t="s">
        <v>304</v>
      </c>
      <c r="AD15" s="22" t="s">
        <v>305</v>
      </c>
      <c r="AE15" s="26" t="s">
        <v>306</v>
      </c>
      <c r="AF15" s="22" t="s">
        <v>307</v>
      </c>
      <c r="AG15" s="22" t="s">
        <v>308</v>
      </c>
      <c r="AH15" s="22" t="s">
        <v>70</v>
      </c>
      <c r="AI15" s="27" t="s">
        <v>309</v>
      </c>
      <c r="AJ15" s="27" t="s">
        <v>310</v>
      </c>
      <c r="AK15" s="22" t="s">
        <v>75</v>
      </c>
      <c r="AL15" s="28" t="s">
        <v>76</v>
      </c>
      <c r="AM15" s="28" t="s">
        <v>77</v>
      </c>
      <c r="AN15" s="34" t="s">
        <v>76</v>
      </c>
      <c r="AO15" s="28"/>
      <c r="AP15" s="28" t="s">
        <v>76</v>
      </c>
      <c r="AQ15" s="28"/>
      <c r="AR15" s="28"/>
      <c r="AS15" s="28"/>
      <c r="AU15" s="30"/>
      <c r="AV15" s="31" t="str">
        <f>'[1]Рапорт лікарня з лікарні'!$E$2</f>
        <v>Командир 4 навчальної роти-старший викладач 3 навчального батальйону 
школи індивідуальної підготовки військової частини А1890
старший лейтенант						Сергій ПАШІН</v>
      </c>
      <c r="AW15" s="32" t="str">
        <f>'[1]Рапорт лікарня з лікарні'!$F$2</f>
        <v>Командир 3 навчального батальйону школи індивідуальної підготовки 
військової частини А1890
підполковник			Андрій ПІСТОЛЬ</v>
      </c>
      <c r="AX15" s="32" t="str">
        <f>'[1]Рапорт лікарня з лікарні'!$D$2</f>
        <v>Дійсним доповідаю по суті рапорту старшого лейтенанта ПАШІНА С.В.</v>
      </c>
      <c r="AY15" s="32" t="str">
        <f>'[1]Рапорт лікарня з лікарні'!$G$2</f>
        <v>Тимчасово виконуючий обов’язки начальника школи індивідуальної підготовки 
військової частини А1890
підполковник							Рустам ОСОКІН</v>
      </c>
    </row>
    <row r="16" spans="1:53" s="33" customFormat="1" ht="15" customHeight="1" x14ac:dyDescent="0.3">
      <c r="A16" s="21">
        <f t="shared" si="0"/>
        <v>15</v>
      </c>
      <c r="B16" s="22" t="s">
        <v>311</v>
      </c>
      <c r="C16" s="22" t="s">
        <v>51</v>
      </c>
      <c r="D16" s="22" t="s">
        <v>312</v>
      </c>
      <c r="E16" s="22" t="s">
        <v>53</v>
      </c>
      <c r="F16" s="22">
        <v>1</v>
      </c>
      <c r="G16" s="23" t="s">
        <v>54</v>
      </c>
      <c r="H16" s="22" t="s">
        <v>55</v>
      </c>
      <c r="I16" s="24"/>
      <c r="J16" s="24"/>
      <c r="K16" s="22"/>
      <c r="L16" s="24">
        <v>28742</v>
      </c>
      <c r="M16" s="22" t="s">
        <v>313</v>
      </c>
      <c r="N16" s="22" t="s">
        <v>314</v>
      </c>
      <c r="O16" s="22">
        <v>2874120796</v>
      </c>
      <c r="P16" s="26" t="s">
        <v>315</v>
      </c>
      <c r="Q16" s="25" t="s">
        <v>316</v>
      </c>
      <c r="R16" s="22" t="s">
        <v>317</v>
      </c>
      <c r="S16" s="22" t="s">
        <v>318</v>
      </c>
      <c r="T16" s="22" t="s">
        <v>319</v>
      </c>
      <c r="U16" s="22" t="s">
        <v>320</v>
      </c>
      <c r="V16" s="22" t="s">
        <v>321</v>
      </c>
      <c r="W16" s="25" t="s">
        <v>322</v>
      </c>
      <c r="X16" s="22" t="s">
        <v>186</v>
      </c>
      <c r="Y16" s="25" t="s">
        <v>323</v>
      </c>
      <c r="Z16" s="22" t="s">
        <v>70</v>
      </c>
      <c r="AA16" s="22" t="s">
        <v>324</v>
      </c>
      <c r="AB16" s="22" t="s">
        <v>68</v>
      </c>
      <c r="AC16" s="25" t="s">
        <v>170</v>
      </c>
      <c r="AD16" s="22" t="s">
        <v>70</v>
      </c>
      <c r="AE16" s="26" t="s">
        <v>97</v>
      </c>
      <c r="AF16" s="22" t="s">
        <v>72</v>
      </c>
      <c r="AG16" s="22" t="s">
        <v>70</v>
      </c>
      <c r="AH16" s="22" t="s">
        <v>70</v>
      </c>
      <c r="AI16" s="27" t="s">
        <v>325</v>
      </c>
      <c r="AJ16" s="27" t="s">
        <v>326</v>
      </c>
      <c r="AK16" s="22" t="s">
        <v>75</v>
      </c>
      <c r="AL16" s="28" t="s">
        <v>102</v>
      </c>
      <c r="AM16" s="35" t="s">
        <v>76</v>
      </c>
      <c r="AN16" s="5" t="s">
        <v>76</v>
      </c>
      <c r="AO16" s="28"/>
      <c r="AP16" s="28" t="s">
        <v>76</v>
      </c>
      <c r="AQ16" s="28"/>
      <c r="AR16" s="28"/>
      <c r="AS16" s="28"/>
      <c r="AU16" s="30"/>
      <c r="AV16" s="31" t="str">
        <f>'[1]Рапорт лікарня з лікарні'!$E$2</f>
        <v>Командир 4 навчальної роти-старший викладач 3 навчального батальйону 
школи індивідуальної підготовки військової частини А1890
старший лейтенант						Сергій ПАШІН</v>
      </c>
      <c r="AW16" s="32" t="str">
        <f>'[1]Рапорт лікарня з лікарні'!$F$2</f>
        <v>Командир 3 навчального батальйону школи індивідуальної підготовки 
військової частини А1890
підполковник			Андрій ПІСТОЛЬ</v>
      </c>
      <c r="AX16" s="32" t="str">
        <f>'[1]Рапорт лікарня з лікарні'!$D$2</f>
        <v>Дійсним доповідаю по суті рапорту старшого лейтенанта ПАШІНА С.В.</v>
      </c>
      <c r="AY16" s="32" t="str">
        <f>'[1]Рапорт лікарня з лікарні'!$G$2</f>
        <v>Тимчасово виконуючий обов’язки начальника школи індивідуальної підготовки 
військової частини А1890
підполковник							Рустам ОСОКІН</v>
      </c>
    </row>
    <row r="17" spans="1:51" s="33" customFormat="1" ht="15" customHeight="1" x14ac:dyDescent="0.3">
      <c r="A17" s="21">
        <f t="shared" si="0"/>
        <v>16</v>
      </c>
      <c r="B17" s="22" t="s">
        <v>327</v>
      </c>
      <c r="C17" s="22" t="s">
        <v>51</v>
      </c>
      <c r="D17" s="22" t="s">
        <v>328</v>
      </c>
      <c r="E17" s="22" t="s">
        <v>53</v>
      </c>
      <c r="F17" s="22">
        <v>1</v>
      </c>
      <c r="G17" s="23" t="s">
        <v>54</v>
      </c>
      <c r="H17" s="22" t="s">
        <v>55</v>
      </c>
      <c r="I17" s="24"/>
      <c r="J17" s="24" t="s">
        <v>76</v>
      </c>
      <c r="K17" s="22"/>
      <c r="L17" s="24">
        <v>26352</v>
      </c>
      <c r="M17" s="22" t="s">
        <v>329</v>
      </c>
      <c r="N17" s="22" t="s">
        <v>330</v>
      </c>
      <c r="O17" s="22">
        <v>2635127372</v>
      </c>
      <c r="P17" s="26" t="s">
        <v>331</v>
      </c>
      <c r="Q17" s="22" t="s">
        <v>70</v>
      </c>
      <c r="R17" s="22" t="s">
        <v>332</v>
      </c>
      <c r="S17" s="22" t="s">
        <v>332</v>
      </c>
      <c r="T17" s="22" t="s">
        <v>333</v>
      </c>
      <c r="U17" s="25" t="s">
        <v>334</v>
      </c>
      <c r="V17" s="22" t="s">
        <v>129</v>
      </c>
      <c r="W17" s="22" t="s">
        <v>335</v>
      </c>
      <c r="X17" s="22" t="s">
        <v>336</v>
      </c>
      <c r="Y17" s="25" t="s">
        <v>337</v>
      </c>
      <c r="Z17" s="22" t="s">
        <v>70</v>
      </c>
      <c r="AA17" s="22" t="s">
        <v>338</v>
      </c>
      <c r="AB17" s="22" t="s">
        <v>68</v>
      </c>
      <c r="AC17" s="22" t="s">
        <v>170</v>
      </c>
      <c r="AD17" s="22" t="s">
        <v>70</v>
      </c>
      <c r="AE17" s="26" t="s">
        <v>97</v>
      </c>
      <c r="AF17" s="22" t="s">
        <v>72</v>
      </c>
      <c r="AG17" s="22" t="s">
        <v>70</v>
      </c>
      <c r="AH17" s="22" t="s">
        <v>70</v>
      </c>
      <c r="AI17" s="27" t="s">
        <v>70</v>
      </c>
      <c r="AJ17" s="27" t="s">
        <v>339</v>
      </c>
      <c r="AK17" s="22" t="s">
        <v>75</v>
      </c>
      <c r="AL17" s="28" t="s">
        <v>102</v>
      </c>
      <c r="AM17" s="28" t="s">
        <v>77</v>
      </c>
      <c r="AN17" s="5" t="s">
        <v>76</v>
      </c>
      <c r="AO17" s="28"/>
      <c r="AP17" s="28" t="s">
        <v>76</v>
      </c>
      <c r="AQ17" s="28"/>
      <c r="AR17" s="28"/>
      <c r="AS17" s="28"/>
      <c r="AU17" s="30"/>
      <c r="AV17" s="31" t="str">
        <f>'[1]Рапорт лікарня з лікарні'!$E$2</f>
        <v>Командир 4 навчальної роти-старший викладач 3 навчального батальйону 
школи індивідуальної підготовки військової частини А1890
старший лейтенант						Сергій ПАШІН</v>
      </c>
      <c r="AW17" s="32" t="str">
        <f>'[1]Рапорт лікарня з лікарні'!$F$2</f>
        <v>Командир 3 навчального батальйону школи індивідуальної підготовки 
військової частини А1890
підполковник			Андрій ПІСТОЛЬ</v>
      </c>
      <c r="AX17" s="32" t="str">
        <f>'[1]Рапорт лікарня з лікарні'!$D$2</f>
        <v>Дійсним доповідаю по суті рапорту старшого лейтенанта ПАШІНА С.В.</v>
      </c>
      <c r="AY17" s="32" t="str">
        <f>'[1]Рапорт лікарня з лікарні'!$G$2</f>
        <v>Тимчасово виконуючий обов’язки начальника школи індивідуальної підготовки 
військової частини А1890
підполковник							Рустам ОСОКІН</v>
      </c>
    </row>
    <row r="18" spans="1:51" s="33" customFormat="1" ht="15" customHeight="1" x14ac:dyDescent="0.3">
      <c r="A18" s="21">
        <f t="shared" si="0"/>
        <v>17</v>
      </c>
      <c r="B18" s="22" t="s">
        <v>340</v>
      </c>
      <c r="C18" s="22" t="s">
        <v>51</v>
      </c>
      <c r="D18" s="22" t="s">
        <v>341</v>
      </c>
      <c r="E18" s="22" t="s">
        <v>53</v>
      </c>
      <c r="F18" s="22">
        <v>1</v>
      </c>
      <c r="G18" s="23" t="s">
        <v>54</v>
      </c>
      <c r="H18" s="22" t="s">
        <v>55</v>
      </c>
      <c r="I18" s="24"/>
      <c r="J18" s="24"/>
      <c r="K18" s="22"/>
      <c r="L18" s="24">
        <v>26010</v>
      </c>
      <c r="M18" s="22" t="s">
        <v>342</v>
      </c>
      <c r="N18" s="22" t="s">
        <v>343</v>
      </c>
      <c r="O18" s="22">
        <v>2600917530</v>
      </c>
      <c r="P18" s="26" t="s">
        <v>344</v>
      </c>
      <c r="Q18" s="22" t="s">
        <v>345</v>
      </c>
      <c r="R18" s="22" t="s">
        <v>346</v>
      </c>
      <c r="S18" s="22" t="s">
        <v>346</v>
      </c>
      <c r="T18" s="22" t="s">
        <v>347</v>
      </c>
      <c r="U18" s="22" t="s">
        <v>348</v>
      </c>
      <c r="V18" s="22" t="s">
        <v>349</v>
      </c>
      <c r="W18" s="25" t="s">
        <v>350</v>
      </c>
      <c r="X18" s="22" t="s">
        <v>351</v>
      </c>
      <c r="Y18" s="25" t="s">
        <v>352</v>
      </c>
      <c r="Z18" s="22" t="s">
        <v>70</v>
      </c>
      <c r="AA18" s="25" t="s">
        <v>353</v>
      </c>
      <c r="AB18" s="22" t="s">
        <v>68</v>
      </c>
      <c r="AC18" s="22" t="s">
        <v>354</v>
      </c>
      <c r="AD18" s="22" t="s">
        <v>70</v>
      </c>
      <c r="AE18" s="26" t="s">
        <v>97</v>
      </c>
      <c r="AF18" s="22" t="s">
        <v>72</v>
      </c>
      <c r="AG18" s="22" t="s">
        <v>355</v>
      </c>
      <c r="AH18" s="22" t="s">
        <v>70</v>
      </c>
      <c r="AI18" s="27" t="s">
        <v>356</v>
      </c>
      <c r="AJ18" s="27" t="s">
        <v>357</v>
      </c>
      <c r="AK18" s="22" t="s">
        <v>75</v>
      </c>
      <c r="AL18" s="28" t="s">
        <v>76</v>
      </c>
      <c r="AM18" s="5" t="s">
        <v>76</v>
      </c>
      <c r="AN18" s="35" t="s">
        <v>76</v>
      </c>
      <c r="AO18" s="28"/>
      <c r="AP18" s="28" t="s">
        <v>76</v>
      </c>
      <c r="AQ18" s="28"/>
      <c r="AR18" s="28"/>
      <c r="AS18" s="28"/>
      <c r="AU18" s="30"/>
      <c r="AV18" s="31" t="str">
        <f>'[1]Рапорт лікарня з лікарні'!$E$2</f>
        <v>Командир 4 навчальної роти-старший викладач 3 навчального батальйону 
школи індивідуальної підготовки військової частини А1890
старший лейтенант						Сергій ПАШІН</v>
      </c>
      <c r="AW18" s="32" t="str">
        <f>'[1]Рапорт лікарня з лікарні'!$F$2</f>
        <v>Командир 3 навчального батальйону школи індивідуальної підготовки 
військової частини А1890
підполковник			Андрій ПІСТОЛЬ</v>
      </c>
      <c r="AX18" s="32" t="str">
        <f>'[1]Рапорт лікарня з лікарні'!$D$2</f>
        <v>Дійсним доповідаю по суті рапорту старшого лейтенанта ПАШІНА С.В.</v>
      </c>
      <c r="AY18" s="32" t="str">
        <f>'[1]Рапорт лікарня з лікарні'!$G$2</f>
        <v>Тимчасово виконуючий обов’язки начальника школи індивідуальної підготовки 
військової частини А1890
підполковник							Рустам ОСОКІН</v>
      </c>
    </row>
  </sheetData>
  <conditionalFormatting sqref="A2:W18">
    <cfRule type="expression" dxfId="52" priority="48">
      <formula>$H2="НАРЯД"</formula>
    </cfRule>
    <cfRule type="expression" dxfId="51" priority="49">
      <formula>$H2="ТАК"</formula>
    </cfRule>
    <cfRule type="expression" dxfId="50" priority="50">
      <formula>$H2="ШПИТАЛЬ"</formula>
    </cfRule>
    <cfRule type="expression" dxfId="49" priority="51">
      <formula>$H2="СЗЧ"</formula>
    </cfRule>
    <cfRule type="expression" dxfId="48" priority="52">
      <formula>$H2="ВІДПУСТКА"</formula>
    </cfRule>
    <cfRule type="expression" dxfId="47" priority="53">
      <formula>$H2="ВІДРЯДЖЕННЯ"</formula>
    </cfRule>
  </conditionalFormatting>
  <conditionalFormatting sqref="AI2:AK18">
    <cfRule type="expression" dxfId="46" priority="6">
      <formula>$H2="НАРЯД"</formula>
    </cfRule>
    <cfRule type="expression" dxfId="45" priority="7">
      <formula>$H2="ТАК"</formula>
    </cfRule>
    <cfRule type="expression" dxfId="44" priority="8">
      <formula>$H2="ШПИТАЛЬ"</formula>
    </cfRule>
    <cfRule type="expression" dxfId="43" priority="9">
      <formula>$H2="СЗЧ"</formula>
    </cfRule>
    <cfRule type="expression" dxfId="42" priority="10">
      <formula>$H2="ВІДПУСТКА"</formula>
    </cfRule>
    <cfRule type="expression" dxfId="41" priority="11">
      <formula>$H2="ВІДРЯДЖЕННЯ"</formula>
    </cfRule>
  </conditionalFormatting>
  <conditionalFormatting sqref="X2:X18">
    <cfRule type="expression" dxfId="40" priority="42">
      <formula>$H2="НАРЯД"</formula>
    </cfRule>
    <cfRule type="expression" dxfId="39" priority="43">
      <formula>$H2="ТАК"</formula>
    </cfRule>
    <cfRule type="expression" dxfId="38" priority="44">
      <formula>$H2="ШПИТАЛЬ"</formula>
    </cfRule>
    <cfRule type="expression" dxfId="37" priority="45">
      <formula>$H2="СЗЧ"</formula>
    </cfRule>
    <cfRule type="expression" dxfId="36" priority="46">
      <formula>$H2="ВІДПУСТКА"</formula>
    </cfRule>
    <cfRule type="expression" dxfId="35" priority="47">
      <formula>$H2="ВІДРЯДЖЕННЯ"</formula>
    </cfRule>
  </conditionalFormatting>
  <conditionalFormatting sqref="Y2:AD18">
    <cfRule type="expression" dxfId="34" priority="36">
      <formula>$H2="НАРЯД"</formula>
    </cfRule>
    <cfRule type="expression" dxfId="33" priority="37">
      <formula>$H2="ТАК"</formula>
    </cfRule>
    <cfRule type="expression" dxfId="32" priority="38">
      <formula>$H2="ШПИТАЛЬ"</formula>
    </cfRule>
    <cfRule type="expression" dxfId="31" priority="39">
      <formula>$H2="СЗЧ"</formula>
    </cfRule>
    <cfRule type="expression" dxfId="30" priority="40">
      <formula>$H2="ВІДПУСТКА"</formula>
    </cfRule>
    <cfRule type="expression" dxfId="29" priority="41">
      <formula>$H2="ВІДРЯДЖЕННЯ"</formula>
    </cfRule>
  </conditionalFormatting>
  <conditionalFormatting sqref="AE2:AE18">
    <cfRule type="expression" dxfId="28" priority="30">
      <formula>$H2="НАРЯД"</formula>
    </cfRule>
    <cfRule type="expression" dxfId="27" priority="31">
      <formula>$H2="ТАК"</formula>
    </cfRule>
    <cfRule type="expression" dxfId="26" priority="32">
      <formula>$H2="ШПИТАЛЬ"</formula>
    </cfRule>
    <cfRule type="expression" dxfId="25" priority="33">
      <formula>$H2="СЗЧ"</formula>
    </cfRule>
    <cfRule type="expression" dxfId="24" priority="34">
      <formula>$H2="ВІДПУСТКА"</formula>
    </cfRule>
    <cfRule type="expression" dxfId="23" priority="35">
      <formula>$H2="ВІДРЯДЖЕННЯ"</formula>
    </cfRule>
  </conditionalFormatting>
  <conditionalFormatting sqref="AF2:AF18">
    <cfRule type="expression" dxfId="22" priority="24">
      <formula>$H2="НАРЯД"</formula>
    </cfRule>
    <cfRule type="expression" dxfId="21" priority="25">
      <formula>$H2="ТАК"</formula>
    </cfRule>
    <cfRule type="expression" dxfId="20" priority="26">
      <formula>$H2="ШПИТАЛЬ"</formula>
    </cfRule>
    <cfRule type="expression" dxfId="19" priority="27">
      <formula>$H2="СЗЧ"</formula>
    </cfRule>
    <cfRule type="expression" dxfId="18" priority="28">
      <formula>$H2="ВІДПУСТКА"</formula>
    </cfRule>
    <cfRule type="expression" dxfId="17" priority="29">
      <formula>$H2="ВІДРЯДЖЕННЯ"</formula>
    </cfRule>
  </conditionalFormatting>
  <conditionalFormatting sqref="AG2:AG18">
    <cfRule type="expression" dxfId="16" priority="18">
      <formula>$H2="НАРЯД"</formula>
    </cfRule>
    <cfRule type="expression" dxfId="15" priority="19">
      <formula>$H2="ТАК"</formula>
    </cfRule>
    <cfRule type="expression" dxfId="14" priority="20">
      <formula>$H2="ШПИТАЛЬ"</formula>
    </cfRule>
    <cfRule type="expression" dxfId="13" priority="21">
      <formula>$H2="СЗЧ"</formula>
    </cfRule>
    <cfRule type="expression" dxfId="12" priority="22">
      <formula>$H2="ВІДПУСТКА"</formula>
    </cfRule>
    <cfRule type="expression" dxfId="11" priority="23">
      <formula>$H2="ВІДРЯДЖЕННЯ"</formula>
    </cfRule>
  </conditionalFormatting>
  <conditionalFormatting sqref="AH2:AH18">
    <cfRule type="expression" dxfId="10" priority="12">
      <formula>$H2="НАРЯД"</formula>
    </cfRule>
    <cfRule type="expression" dxfId="9" priority="13">
      <formula>$H2="ТАК"</formula>
    </cfRule>
    <cfRule type="expression" dxfId="8" priority="14">
      <formula>$H2="ШПИТАЛЬ"</formula>
    </cfRule>
    <cfRule type="expression" dxfId="7" priority="15">
      <formula>$H2="СЗЧ"</formula>
    </cfRule>
    <cfRule type="expression" dxfId="6" priority="16">
      <formula>$H2="ВІДПУСТКА"</formula>
    </cfRule>
    <cfRule type="expression" dxfId="5" priority="17">
      <formula>$H2="ВІДРЯДЖЕННЯ"</formula>
    </cfRule>
  </conditionalFormatting>
  <conditionalFormatting sqref="AL2:AL18">
    <cfRule type="containsText" dxfId="4" priority="5" operator="containsText" text="так">
      <formula>NOT(ISERROR(SEARCH("так",AL2)))</formula>
    </cfRule>
  </conditionalFormatting>
  <conditionalFormatting sqref="AL2:AL18">
    <cfRule type="containsText" dxfId="3" priority="2" operator="containsText" text="дов">
      <formula>NOT(ISERROR(SEARCH("дов",AL2)))</formula>
    </cfRule>
    <cfRule type="containsText" dxfId="2" priority="3" operator="containsText" text="так">
      <formula>NOT(ISERROR(SEARCH("так",AL2)))</formula>
    </cfRule>
    <cfRule type="containsText" dxfId="1" priority="4" operator="containsText" text="так">
      <formula>NOT(ISERROR(SEARCH("так",AL2)))</formula>
    </cfRule>
  </conditionalFormatting>
  <conditionalFormatting sqref="AM2:AP18">
    <cfRule type="containsText" dxfId="0" priority="1" operator="containsText" text="ні">
      <formula>NOT(ISERROR(SEARCH("ні",AM2)))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2026-09-04T11:53:26Z</dcterms:created>
  <dcterms:modified xsi:type="dcterms:W3CDTF">2026-09-04T11:54:18Z</dcterms:modified>
</cp:coreProperties>
</file>